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8e39cbdb294160" /></Relationships>
</file>

<file path=xl/workbook.xml><?xml version="1.0" encoding="utf-8"?>
<x:workbook xmlns:x="http://schemas.openxmlformats.org/spreadsheetml/2006/main">
  <x:sheets>
    <x:sheet xmlns:r="http://schemas.openxmlformats.org/officeDocument/2006/relationships" name="说明与结论" sheetId="1" r:id="Rf3851632ab974744"/>
    <x:sheet xmlns:r="http://schemas.openxmlformats.org/officeDocument/2006/relationships" name="有效舆情明细" sheetId="2" r:id="Rfec00f1824c649c6"/>
    <x:sheet xmlns:r="http://schemas.openxmlformats.org/officeDocument/2006/relationships" name="公众意见汇总" sheetId="3" r:id="R317aabaf7ae64f35"/>
    <x:sheet xmlns:r="http://schemas.openxmlformats.org/officeDocument/2006/relationships" name="官方实施信息" sheetId="4" r:id="R25a2477b8a694d54"/>
    <x:sheet xmlns:r="http://schemas.openxmlformats.org/officeDocument/2006/relationships" name="排除记录" sheetId="5" r:id="R41ab2516d53d4ce9"/>
    <x:sheet xmlns:r="http://schemas.openxmlformats.org/officeDocument/2006/relationships" name="人工补查入口" sheetId="6" r:id="Ref39ad97d82e482c"/>
    <x:sheet xmlns:r="http://schemas.openxmlformats.org/officeDocument/2006/relationships" name="检索日志" sheetId="7" r:id="R9ce70b6a9eca4d7e"/>
    <x:sheet xmlns:r="http://schemas.openxmlformats.org/officeDocument/2006/relationships" name="扁平化数据" sheetId="8" r:id="R3e71ba929bee4af7"/>
    <x:sheet xmlns:r="http://schemas.openxmlformats.org/officeDocument/2006/relationships" name="议题标签" sheetId="9" r:id="R6057d0c53a104f94"/>
    <x:sheet xmlns:r="http://schemas.openxmlformats.org/officeDocument/2006/relationships" name="核验依据" sheetId="10" r:id="R905d0d757529431f"/>
    <x:sheet xmlns:r="http://schemas.openxmlformats.org/officeDocument/2006/relationships" name="检测来源与查看信息" sheetId="11" r:id="Rdd8eb9720f874931"/>
    <x:sheet xmlns:r="http://schemas.openxmlformats.org/officeDocument/2006/relationships" name="有效相关信息数" sheetId="12" r:id="Rf1e0c4771fb94665"/>
    <x:sheet xmlns:r="http://schemas.openxmlformats.org/officeDocument/2006/relationships" name="非支持态度复核" sheetId="13" r:id="R800c3793f1294cd6"/>
    <x:sheet xmlns:r="http://schemas.openxmlformats.org/officeDocument/2006/relationships" name="少数民族语言复核" sheetId="14" r:id="R035a3502c6554a0f"/>
  </x:sheets>
</x:workbook>
</file>

<file path=xl/sharedStrings.xml><?xml version="1.0" encoding="utf-8"?>
<x:sst xmlns:x="http://schemas.openxmlformats.org/spreadsheetml/2006/main">
  <x:si>
    <x:t xml:space="preserve">新疆《民族团结进步促进法》历史舆情回溯（一次性）</x:t>
  </x:si>
  <x:si>
    <x:t xml:space="preserve">研究窗口</x:t>
  </x:si>
  <x:si>
    <x:t xml:space="preserve">有效明细条目</x:t>
  </x:si>
  <x:si>
    <x:t xml:space="preserve">有效公众意见</x:t>
  </x:si>
  <x:si>
    <x:t xml:space="preserve">官方实施信息</x:t>
  </x:si>
  <x:si>
    <x:t xml:space="preserve">维吾尔文有效条目</x:t>
  </x:si>
  <x:si>
    <x:t xml:space="preserve">公开投诉/维权</x:t>
  </x:si>
  <x:si>
    <x:t xml:space="preserve">公开政府答复/辟谣</x:t>
  </x:si>
  <x:si>
    <x:t xml:space="preserve">补充</x:t>
  </x:si>
  <x:si>
    <x:t xml:space="preserve">核心结论</x:t>
  </x:si>
  <x:si>
    <x:t xml:space="preserve">重要边界说明</x:t>
  </x:si>
  <x:si>
    <x:t xml:space="preserve">列1</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</x:si>
  <x:si>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</x:si>
  <x:si>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</x:si>
  <x:si>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</x:si>
  <x:si>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</x:si>
  <x:si>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</x:si>
  <x:si>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</x:si>
  <x:si>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</x:si>
  <x:si>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</x:si>
  <x:si>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</x:si>
  <x:si>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</x:si>
  <x:si>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</x:si>
  <x:si>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</x:si>
  <x:si>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</x:si>
  <x:si>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</x:si>
  <x:si>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</x:si>
  <x:si>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</x:si>
  <x:si>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</x:si>
  <x:si>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</x:si>
  <x:si>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</x:si>
  <x:si>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</x:si>
  <x:si>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</x:si>
  <x:si>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</x:si>
  <x:si>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</x:si>
  <x:si>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</x:si>
  <x:si>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网络检索</x:t>
  </x:si>
  <x:si>
    <x:t xml:space="preserve">知乎</x:t>
  </x:si>
  <x:si>
    <x:t xml:space="preserve">知乎问答/专栏</x:t>
  </x:si>
  <x:si>
    <x:t xml:space="preserve">全国</x:t>
  </x:si>
  <x:si>
    <x:t xml:space="preserve">普通话</x:t>
  </x:si>
  <x:si>
    <x:t xml:space="preserve">无</x:t>
  </x:si>
  <x:si>
    <x:t xml:space="preserve">民族团结进步促进法的实施，让石榴花开更艳 青春同心绽放 ｜《中国妇女》评论</x:t>
  </x:si>
  <x:si>
    <x:t xml:space="preserve">https://zhuanlan.zhihu.com/p/2067608355355505291</x:t>
  </x:si>
  <x:si>
    <x:t xml:space="preserve">A类</x:t>
  </x:si>
  <x:si>
    <x:t xml:space="preserve">法律条款解读与争议讨论</x:t>
  </x:si>
  <x:si>
    <x:t xml:space="preserve">-</x:t>
  </x:si>
  <x:si>
    <x:t xml:space="preserve">否</x:t>
  </x:si>
  <x:si>
    <x:t xml:space="preserve">一部中国法律落地！美欧反应激烈，境外黑手知道大事不妙了？</x:t>
  </x:si>
  <x:si>
    <x:t xml:space="preserve">https://zhuanlan.zhihu.com/p/2056903490518230049</x:t>
  </x:si>
  <x:si>
    <x:t xml:space="preserve">哔哩哔哩</x:t>
  </x:si>
  <x:si>
    <x:t xml:space="preserve">哔哩哔哩视频/评论</x:t>
  </x:si>
  <x:si>
    <x:t xml:space="preserve">公众意见/视频</x:t>
  </x:si>
  <x:si>
    <x:t xml:space="preserve">【Fy光夜】反对“皇汉”极端民族主义者曲解《民族团结进步促进法》，筑牢中华民族共同体意识</x:t>
  </x:si>
  <x:si>
    <x:t xml:space="preserve">https://www.bilibili.com/video/BV15PuP6bEeM/</x:t>
  </x:si>
  <x:si>
    <x:t xml:space="preserve">法律宣贯与施行解读</x:t>
  </x:si>
  <x:si>
    <x:t xml:space="preserve">一起看民族团结进步促进法</x:t>
  </x:si>
  <x:si>
    <x:t xml:space="preserve">https://www.bilibili.com/video/BV1oiKm6yEq2/</x:t>
  </x:si>
  <x:si>
    <x:t xml:space="preserve">哔哩哔哩视频/热评</x:t>
  </x:si>
  <x:si>
    <x:t xml:space="preserve">民族团结法7月1日正式实施，对外国人有效</x:t>
  </x:si>
  <x:si>
    <x:t xml:space="preserve">https://www.bilibili.com/video/BV1137P6AEbg/</x:t>
  </x:si>
  <x:si>
    <x:t xml:space="preserve">法律解读与宣贯</x:t>
  </x:si>
  <x:si>
    <x:t xml:space="preserve">公众意见汇总（不含官方会议和媒体稿）</x:t>
  </x:si>
  <x:si>
    <x:t xml:space="preserve">统计项</x:t>
  </x:si>
  <x:si>
    <x:t xml:space="preserve">数量</x:t>
  </x:si>
  <x:si>
    <x:t xml:space="preserve">样本说明</x:t>
  </x:si>
  <x:si>
    <x:t xml:space="preserve">主要争议或关注问题（按有效明细关键词出现次数）</x:t>
  </x:si>
  <x:si>
    <x:t xml:space="preserve">问题</x:t>
  </x:si>
  <x:si>
    <x:t xml:space="preserve">出现次数</x:t>
  </x:si>
  <x:si>
    <x:t xml:space="preserve">代表来源</x:t>
  </x:si>
  <x:si>
    <x:t xml:space="preserve">说明</x:t>
  </x:si>
  <x:si>
    <x:t xml:space="preserve">限制：未检出的意见类别不能解释为现实中不存在；公开平台访问限制会系统性压低评论、弹幕、投诉和负面意见的可见度。</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</x:si>
  <x:si>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</x:si>
  <x:si>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</x:si>
  <x:si>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</x:si>
  <x:si>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</x:si>
  <x:si>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</x:si>
  <x:si>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新疆全区</x:t>
  </x:si>
  <x:si>
    <x:t xml:space="preserve">自治区党委/相关部门</x:t>
  </x:si>
  <x:si>
    <x:t xml:space="preserve">新时代新疆干部大讲堂专题辅导讲座</x:t>
  </x:si>
  <x:si>
    <x:t xml:space="preserve">自治区、地县及兵团设置会场，开展法律专题辅导。</x:t>
  </x:si>
  <x:si>
    <x:t xml:space="preserve">https://xjrb.ts.cn/xjrb/20260704/259878.html</x:t>
  </x:si>
  <x:si>
    <x:t xml:space="preserve">自治区党委、自治区人民政府、自治区民委</x:t>
  </x:si>
  <x:si>
    <x:t xml:space="preserve">自治区民委调研座谈</x:t>
  </x:si>
  <x:si>
    <x:t xml:space="preserve">部署法规政策衔接、宣传培训、依法保障权益和督促落实。</x:t>
  </x:si>
  <x:si>
    <x:t xml:space="preserve">https://xjrb.ts.cn/xjrb/20260717/260409.html</x:t>
  </x:si>
  <x:si>
    <x:t xml:space="preserve">自治区人民政府</x:t>
  </x:si>
  <x:si>
    <x:t xml:space="preserve">政府常务会议法治专题讲座</x:t>
  </x:si>
  <x:si>
    <x:t xml:space="preserve">要求全员学习并推动法律进乡村、社区、学校、企业、社会组织和宗教活动场所。</x:t>
  </x:si>
  <x:si>
    <x:t xml:space="preserve">https://xjrb.ts.cn/xjrb/20260724/260693.html</x:t>
  </x:si>
  <x:si>
    <x:t xml:space="preserve">喀什地区</x:t>
  </x:si>
  <x:si>
    <x:t xml:space="preserve">自治区民族事务委员会</x:t>
  </x:si>
  <x:si>
    <x:t xml:space="preserve">银发团赴喀什调研宣讲</x:t>
  </x:si>
  <x:si>
    <x:t xml:space="preserve">调研基层实施问题，在英吉沙县面向200余名村民宣讲。</x:t>
  </x:si>
  <x:si>
    <x:t xml:space="preserve">https://mwzjswj.xinjiang.gov.cn/xjmzw/zwdt/202607/51a08a4323e547a78e87fb1cc6f9a3e8.shtml</x:t>
  </x:si>
  <x:si>
    <x:t xml:space="preserve">含基层座谈和答疑描述；未公开逐条留言/答复</x:t>
  </x:si>
  <x:si>
    <x:t xml:space="preserve">伊犁州霍城县</x:t>
  </x:si>
  <x:si>
    <x:t xml:space="preserve">霍城县司法局</x:t>
  </x:si>
  <x:si>
    <x:t xml:space="preserve">民族团结进步促进法知识竞赛</x:t>
  </x:si>
  <x:si>
    <x:t xml:space="preserve">企业、返乡大学生和村民代表参加竞赛与互动。</x:t>
  </x:si>
  <x:si>
    <x:t xml:space="preserve">https://sft.xinjiang.gov.cn/xjsft/gzyw/202607/74f473e1a60f4f31a3a409c8814c31ce.shtml</x:t>
  </x:si>
  <x:si>
    <x:t xml:space="preserve">巴州和硕县</x:t>
  </x:si>
  <x:si>
    <x:t xml:space="preserve">和硕县司法局</x:t>
  </x:si>
  <x:si>
    <x:t xml:space="preserve">乡村常态化普法</x:t>
  </x:si>
  <x:si>
    <x:t xml:space="preserve">结合案例讲解该法及乡村振兴、妇女权益等法律。</x:t>
  </x:si>
  <x:si>
    <x:t xml:space="preserve">自治区人大常委会</x:t>
  </x:si>
  <x:si>
    <x:t xml:space="preserve">学习贯彻实施座谈会</x:t>
  </x:si>
  <x:si>
    <x:t xml:space="preserve">提出制定地方性法规、衔接配套和监督实施。</x:t>
  </x:si>
  <x:si>
    <x:t xml:space="preserve">https://xjrb.ts.cn/xjrb/20260731/261020.html</x:t>
  </x:si>
  <x:si>
    <x:t xml:space="preserve">昌吉州</x:t>
  </x:si>
  <x:si>
    <x:t xml:space="preserve">昌吉州党委统战部</x:t>
  </x:si>
  <x:si>
    <x:t xml:space="preserve">以法为基聚合力 以宣润心促团结</x:t>
  </x:si>
  <x:si>
    <x:t xml:space="preserve">纳入干部学习，组织24场基层巡回宣讲，覆盖3000余人次。</x:t>
  </x:si>
  <x:si>
    <x:t xml:space="preserve">https://www.xjtzb.gov.cn/static/content/tzdt/2026-07-06/1524830701252517888.html</x:t>
  </x:si>
  <x:si>
    <x:t xml:space="preserve">伊犁州</x:t>
  </x:si>
  <x:si>
    <x:t xml:space="preserve">伊犁州政府网/伊犁零距离</x:t>
  </x:si>
  <x:si>
    <x:t xml:space="preserve">一图读懂法律</x:t>
  </x:si>
  <x:si>
    <x:t xml:space="preserve">政府网站发布长图解读。</x:t>
  </x:si>
  <x:si>
    <x:t xml:space="preserve">https://www.xjyl.gov.cn/xjylz/c112850/202607/2115c367ca904641ba8778338e612b77.shtml</x:t>
  </x:si>
  <x:si>
    <x:t xml:space="preserve">伊犁州人大常委会</x:t>
  </x:si>
  <x:si>
    <x:t xml:space="preserve">专题宣讲会</x:t>
  </x:si>
  <x:si>
    <x:t xml:space="preserve">面向人大系统开展法律宣讲。</x:t>
  </x:si>
  <x:si>
    <x:t xml:space="preserve">https://www.ylxw.com.cn/shizhengxinwen/2026-07-29/1330092.html</x:t>
  </x:si>
  <x:si>
    <x:t xml:space="preserve">含笼统参会反馈；非公开留言</x:t>
  </x:si>
  <x:si>
    <x:t xml:space="preserve">巴州</x:t>
  </x:si>
  <x:si>
    <x:t xml:space="preserve">巴州党委常委会</x:t>
  </x:si>
  <x:si>
    <x:t xml:space="preserve">学习宣传贯彻部署</x:t>
  </x:si>
  <x:si>
    <x:t xml:space="preserve">将该法学习宣传贯彻纳入自治州工作部署。</x:t>
  </x:si>
  <x:si>
    <x:t xml:space="preserve">https://www.xjbz.gov.cn/xjbz/jrbz/202607/6be59ac3612b4c4eba3db9f02375a6b1.shtml</x:t>
  </x:si>
  <x:si>
    <x:t xml:space="preserve">克州</x:t>
  </x:si>
  <x:si>
    <x:t xml:space="preserve">克州人民政府</x:t>
  </x:si>
  <x:si>
    <x:t xml:space="preserve">政府常务会议</x:t>
  </x:si>
  <x:si>
    <x:t xml:space="preserve">提出抓好法律贯彻实施，正文未展开具体配套措施。</x:t>
  </x:si>
  <x:si>
    <x:t xml:space="preserve">https://www.xjkz.gov.cn/xjkz/c101706/202607/c954268617744c23a93fd42562250ec7.shtml</x:t>
  </x:si>
  <x:si>
    <x:t xml:space="preserve">博州</x:t>
  </x:si>
  <x:si>
    <x:t xml:space="preserve">博州相关部门/博尔塔拉融媒体中心</x:t>
  </x:si>
  <x:si>
    <x:t xml:space="preserve">第二十一期铸牢大讲堂</x:t>
  </x:si>
  <x:si>
    <x:t xml:space="preserve">近700人参加，讲解条文和实施重点问题。</x:t>
  </x:si>
  <x:si>
    <x:t xml:space="preserve">https://www.xj.chinanews.com.cn/dizhou/2026-08-03/detail-ihfhytzk9162491.shtml</x:t>
  </x:si>
  <x:si>
    <x:t xml:space="preserve">含两名具名学员引语；非公开留言/答复</x:t>
  </x:si>
  <x:si>
    <x:t xml:space="preserve">巴里坤哈萨克自治县</x:t>
  </x:si>
  <x:si>
    <x:t xml:space="preserve">重庆市相关部门、新疆相关单位</x:t>
  </x:si>
  <x:si>
    <x:t xml:space="preserve">渝疆各族青少年交流活动</x:t>
  </x:si>
  <x:si>
    <x:t xml:space="preserve">7月2日在巴里坤启动，以青少年交流作为落实该法的实践。</x:t>
  </x:si>
  <x:si>
    <x:t xml:space="preserve">https://www.neac.gov.cn/seac/xwzx/202607/1192655.shtml</x:t>
  </x:si>
  <x:si>
    <x:t xml:space="preserve">含参与青少年集体表态；非公开留言</x:t>
  </x:si>
  <x:si>
    <x:t xml:space="preserve">序号</x:t>
  </x:si>
  <x:si>
    <x:t xml:space="preserve">发布日期/状态</x:t>
  </x:si>
  <x:si>
    <x:t xml:space="preserve">标题或线索</x:t>
  </x:si>
  <x:si>
    <x:t xml:space="preserve">排除原因</x:t>
  </x:si>
  <x:si>
    <x:t xml:space="preserve">2026-03-10 </x:t>
  </x:si>
  <x:si>
    <x:t xml:space="preserve">最高人民法院工作报告（全文）</x:t>
  </x:si>
  <x:si>
    <x:t xml:space="preserve">https://zhuanlan.zhihu.com/p/2014641321655181357</x:t>
  </x:si>
  <x:si>
    <x:t xml:space="preserve">日期不符</x:t>
  </x:si>
  <x:si>
    <x:t xml:space="preserve"> 2026-03-08</x:t>
  </x:si>
  <x:si>
    <x:t xml:space="preserve">应勇在安徽代表团审议三部法律案</x:t>
  </x:si>
  <x:si>
    <x:t xml:space="preserve">https://zhuanlan.zhihu.com/p/2014036129788229072</x:t>
  </x:si>
  <x:si>
    <x:t xml:space="preserve">十四届全国人大四次会议在京开幕 习近平等在主席台就座</x:t>
  </x:si>
  <x:si>
    <x:t xml:space="preserve">https://zhuanlan.zhihu.com/p/2013166950256247966</x:t>
  </x:si>
  <x:si>
    <x:r>
      <x:rPr>
        <x:sz val="11"/>
        <x:color rgb="FF173042"/>
        <x:rFont val="宋体"/>
        <x:family val="3"/>
      </x:rPr>
      <x:t xml:space="preserve">每经</x:t>
    </x:r>
    <x:r>
      <x:rPr>
        <x:sz val="11"/>
        <x:color rgb="FF173042"/>
        <x:rFont val="Times New Roman"/>
        <x:family val="1"/>
      </x:rPr>
      <x:t xml:space="preserve">17</x:t>
    </x:r>
    <x:r>
      <x:rPr>
        <x:sz val="11"/>
        <x:color rgb="FF173042"/>
        <x:rFont val="宋体"/>
        <x:family val="3"/>
      </x:rPr>
      <x:t xml:space="preserve">点丨外交部回应厄齐尔涉疆言论：欢迎他到新疆走一走看一看；全国人大常委会将审议证券法修订草案；海关总署：支持澳门产业多元发展、融入国家发展大局</x:t>
    </x:r>
  </x:si>
  <x:si>
    <x:t xml:space="preserve">https://zhuanlan.zhihu.com/p/97664807</x:t>
  </x:si>
  <x:si>
    <x:t xml:space="preserve"> 2021-02-04</x:t>
  </x:si>
  <x:si>
    <x:t xml:space="preserve">关于涉疆问题的谎言与事实真相</x:t>
  </x:si>
  <x:si>
    <x:t xml:space="preserve">https://zhuanlan.zhihu.com/p/349350547</x:t>
  </x:si>
  <x:si>
    <x:t xml:space="preserve">如何看待「男子因观看下载涉暴恐音视频被拘留 15 天」？</x:t>
  </x:si>
  <x:si>
    <x:t xml:space="preserve">https://www.zhihu.com/question/44480542/answer/1902305650454803960</x:t>
  </x:si>
  <x:si>
    <x:t xml:space="preserve">【新闻评论】立足司法本职 推进民族团结</x:t>
  </x:si>
  <x:si>
    <x:t xml:space="preserve">https://zhuanlan.zhihu.com/p/89143255</x:t>
  </x:si>
  <x:si>
    <x:t xml:space="preserve">2022-03-05 </x:t>
  </x:si>
  <x:si>
    <x:t xml:space="preserve">专家、委员解读政协报告：凝聚共识、团结一心共筑民族复兴梦</x:t>
  </x:si>
  <x:si>
    <x:t xml:space="preserve">https://zhuanlan.zhihu.com/p/476442544</x:t>
  </x:si>
  <x:si>
    <x:t xml:space="preserve">人民日报任仲平文章：徙木立信焕发新活力 干净干事创造新伟业——写在全党深入贯彻中央八项规定精神学习教育开展之际</x:t>
  </x:si>
  <x:si>
    <x:t xml:space="preserve">https://zhuanlan.zhihu.com/p/1888541144339689525</x:t>
  </x:si>
  <x:si>
    <x:t xml:space="preserve">中华人民共和国宪法（全文）</x:t>
  </x:si>
  <x:si>
    <x:t xml:space="preserve">https://zhuanlan.zhihu.com/p/89155367</x:t>
  </x:si>
  <x:si>
    <x:t xml:space="preserve"> 2023-12-20 </x:t>
  </x:si>
  <x:si>
    <x:t xml:space="preserve">重磅文章｜俞建华：深入践行习近平法治思想 全面提升海关法治建设水平</x:t>
  </x:si>
  <x:si>
    <x:t xml:space="preserve">https://zhuanlan.zhihu.com/p/673193500</x:t>
  </x:si>
  <x:si>
    <x:t xml:space="preserve">中央政法工作会议召开！今年政法工作重点抓这7件大事</x:t>
  </x:si>
  <x:si>
    <x:t xml:space="preserve">https://zhuanlan.zhihu.com/p/343200034</x:t>
  </x:si>
  <x:si>
    <x:t xml:space="preserve"> 2026-03-02</x:t>
  </x:si>
  <x:si>
    <x:t xml:space="preserve">政治建军专刊淬火要论丨律令如山壮军威</x:t>
  </x:si>
  <x:si>
    <x:t xml:space="preserve">https://zhuanlan.zhihu.com/p/2011830379749852009</x:t>
  </x:si>
  <x:si>
    <x:t xml:space="preserve"> 2020-07-02</x:t>
  </x:si>
  <x:si>
    <x:t xml:space="preserve">外交部澄清37个涉华人权谬论</x:t>
  </x:si>
  <x:si>
    <x:t xml:space="preserve">https://zhuanlan.zhihu.com/p/153246184</x:t>
  </x:si>
  <x:si>
    <x:t xml:space="preserve"> 2021-07-14</x:t>
  </x:si>
  <x:si>
    <x:t xml:space="preserve">国新办发表《新疆各民族平等权利的保障》白皮书（全文）</x:t>
  </x:si>
  <x:si>
    <x:t xml:space="preserve">https://zhuanlan.zhihu.com/p/389551616</x:t>
  </x:si>
  <x:si>
    <x:t xml:space="preserve">2025-11-13 </x:t>
  </x:si>
  <x:si>
    <x:t xml:space="preserve">检察机关依法履职推动社会主义核心价值观融入法治建设典型案例</x:t>
  </x:si>
  <x:si>
    <x:t xml:space="preserve">https://zhuanlan.zhihu.com/p/1972289736396771764</x:t>
  </x:si>
  <x:si>
    <x:t xml:space="preserve">如何更好的应对网络暴力？</x:t>
  </x:si>
  <x:si>
    <x:t xml:space="preserve">https://www.zhihu.com/question/547754166/answer/3211882622</x:t>
  </x:si>
  <x:si>
    <x:t xml:space="preserve"> 2021-03-24 </x:t>
  </x:si>
  <x:si>
    <x:t xml:space="preserve">碰瓷新疆棉花？H&amp;M已“查无此店”</x:t>
  </x:si>
  <x:si>
    <x:t xml:space="preserve">https://zhuanlan.zhihu.com/p/360249528</x:t>
  </x:si>
  <x:si>
    <x:t xml:space="preserve">信息量巨大！不愧是王毅的记者会！</x:t>
  </x:si>
  <x:si>
    <x:t xml:space="preserve">https://zhuanlan.zhihu.com/p/143231191</x:t>
  </x:si>
  <x:si>
    <x:t xml:space="preserve">2025-04-07 </x:t>
  </x:si>
  <x:si>
    <x:t xml:space="preserve">尹锡悦狼狈出局，却留下“内战遗产”</x:t>
  </x:si>
  <x:si>
    <x:t xml:space="preserve">https://zhuanlan.zhihu.com/p/1892528630237746998</x:t>
  </x:si>
  <x:si>
    <x:t xml:space="preserve">2022-03-14 </x:t>
  </x:si>
  <x:si>
    <x:t xml:space="preserve">《全国人民代表大会常务委员会工作报告》（全文）</x:t>
  </x:si>
  <x:si>
    <x:t xml:space="preserve">https://zhuanlan.zhihu.com/p/480757778</x:t>
  </x:si>
  <x:si>
    <x:t xml:space="preserve">百度知道</x:t>
  </x:si>
  <x:si>
    <x:t xml:space="preserve">中华人民共和国民族团结进步促进法是</x:t>
  </x:si>
  <x:si>
    <x:t xml:space="preserve">http://zhidao.baidu.com/question/2088507598171455388.html?fr=iks&amp;word=%E4%B8%AD%E5%8D%8E%E4%BA%BA%E6%B0%91%E5%85%B1%E5%92%8C%E5%9B%BD%E6%B0%91%E6%97%8F%E5%9B%A2%E7%BB%93%E8%BF%9B%E6%AD%A5%E4%BF%83%E8%BF%9B%E6%B3%95</x:t>
  </x:si>
  <x:si>
    <x:t xml:space="preserve">中华人民共和国民族团结进步促进法规定每年第几月的第四周</x:t>
  </x:si>
  <x:si>
    <x:t xml:space="preserve">http://zhidao.baidu.com/question/1832316221867225228.html?fr=iks&amp;word=%E4%B8%AD%E5%8D%8E%E4%BA%BA%E6%B0%91%E5%85%B1%E5%92%8C%E5%9B%BD%E6%B0%91%E6%97%8F%E5%9B%A2%E7%BB%93%E8%BF%9B%E6%AD%A5%E4%BF%83%E8%BF%9B%E6%B3%95</x:t>
  </x:si>
  <x:si>
    <x:t xml:space="preserve">新疆维吾尔自治区民族团结进步工作条例</x:t>
  </x:si>
  <x:si>
    <x:t xml:space="preserve">http://zhidao.baidu.com/question/1312035756536453259.html?fr=iks&amp;word=%E6%B0%91%E6%97%8F%E5%9B%A2%E7%BB%93%E8%BF%9B%E6%AD%A5%E4%BF%83%E8%BF%9B%E6%B3%95+%E6%96%B0%E7%96%86</x:t>
  </x:si>
  <x:si>
    <x:t xml:space="preserve">2026-05-20 </x:t>
  </x:si>
  <x:si>
    <x:t xml:space="preserve">现行中华人民共和国民族团结进步促进法共有条文数量是</x:t>
  </x:si>
  <x:si>
    <x:t xml:space="preserve">http://zhidao.baidu.com/question/277537741070035125.html?fr=iks&amp;word=%E6%B0%91%E6%97%8F%E5%9B%A2%E7%BB%93%E8%BF%9B%E6%AD%A5%E4%BF%83%E8%BF%9B%E6%B3%95+%E6%96%B0%E7%96%86</x:t>
  </x:si>
  <x:si>
    <x:t xml:space="preserve">应勇：全力履行好国家法律监督机关职责 为实现“十五五”良好开局提供有力司法保障</x:t>
  </x:si>
  <x:si>
    <x:t xml:space="preserve">https://zhuanlan.zhihu.com/p/2062936792987444027</x:t>
  </x:si>
  <x:si>
    <x:t xml:space="preserve">检察院官方号,文章下无评论</x:t>
  </x:si>
  <x:si>
    <x:t xml:space="preserve"> 2021-05-06</x:t>
  </x:si>
  <x:si>
    <x:t xml:space="preserve">独家！少数民族人权保障，中西为何大不同？</x:t>
  </x:si>
  <x:si>
    <x:t xml:space="preserve">https://zhuanlan.zhihu.com/p/370109948</x:t>
  </x:si>
  <x:si>
    <x:t xml:space="preserve">《中华人民共和国民族团结进步促进法》解读促进交往交流交融 来源：海西州普法</x:t>
  </x:si>
  <x:si>
    <x:t xml:space="preserve">https://www.bilibili.com/video/BV1Do3D6xEap/</x:t>
  </x:si>
  <x:si>
    <x:r>
      <x:rPr>
        <x:sz val="11"/>
        <x:color rgb="FF173042"/>
        <x:rFont val="Carlito"/>
      </x:rPr>
      <x:t xml:space="preserve">普法官号</x:t>
    </x:r>
    <x:r>
      <x:rPr>
        <x:sz val="11"/>
        <x:color rgb="FF173042"/>
        <x:rFont val="Noto Sans CJK SC"/>
        <x:family val="1"/>
      </x:rPr>
      <x:t xml:space="preserve">,</x:t>
    </x:r>
    <x:r>
      <x:rPr>
        <x:sz val="11"/>
        <x:color rgb="FF173042"/>
        <x:rFont val="Carlito"/>
      </x:rPr>
      <x:t xml:space="preserve">无有效弹幕和评论</x:t>
    </x:r>
  </x:si>
  <x:si>
    <x:t xml:space="preserve">B站普及宣贯视频【《中华人民共和国民族团结进步促进法》解读促进交往交流交融 来源：海西州普法】及下方网友弹幕留言</x:t>
  </x:si>
  <x:si>
    <x:t xml:space="preserve">平台或账号</x:t>
  </x:si>
  <x:si>
    <x:t xml:space="preserve">无法自动获取的原因</x:t>
  </x:si>
  <x:si>
    <x:t xml:space="preserve">建议人工搜索的关键词</x:t>
  </x:si>
  <x:si>
    <x:t xml:space="preserve">需要重点查看的位置</x:t>
  </x:si>
  <x:si>
    <x:t xml:space="preserve">微博 / s.weibo.com</x:t>
  </x:si>
  <x:si>
    <x:t xml:space="preserve">robots、登录和动态加载限制，无法系统读取原帖、评论和转发语。</x:t>
  </x:si>
  <x:si>
    <x:t xml:space="preserve">民族团结进步促进法 新疆；民族团结法+伊犁/昌吉/博州/巴州/克州；形式主义/一刀切/强制/投诉/辟谣</x:t>
  </x:si>
  <x:si>
    <x:t xml:space="preserve">原帖时间、评论区、转发语、账号认证、互动量</x:t>
  </x:si>
  <x:si>
    <x:t xml:space="preserve">抖音</x:t>
  </x:si>
  <x:si>
    <x:t xml:space="preserve">搜索页可被索引但视频正文、字幕和评论常需登录/客户端。</x:t>
  </x:si>
  <x:si>
    <x:t xml:space="preserve">法律全称或简称+新疆及各自治州县；7月1日民族新规；强制/负担/投诉</x:t>
  </x:si>
  <x:si>
    <x:t xml:space="preserve">视频口播、字幕、置顶评论、评论区、发布时间</x:t>
  </x:si>
  <x:si>
    <x:t xml:space="preserve">快手</x:t>
  </x:si>
  <x:si>
    <x:t xml:space="preserve">公开网页搜索收录有限，评论需客户端。</x:t>
  </x:si>
  <x:si>
    <x:t xml:space="preserve">民族团结法+新疆/地区名；怎么执行/担心/投诉</x:t>
  </x:si>
  <x:si>
    <x:t xml:space="preserve">视频字幕、评论、作者主页时间线</x:t>
  </x:si>
  <x:si>
    <x:t xml:space="preserve">小红书</x:t>
  </x:si>
  <x:si>
    <x:t xml:space="preserve">登录墙与反爬限制，未获得可核验区间内帖子。</x:t>
  </x:si>
  <x:si>
    <x:t xml:space="preserve">民族团结法 新疆；7月1日新法；学校/社区/语言文字</x:t>
  </x:si>
  <x:si>
    <x:t xml:space="preserve">笔记正文、评论、作者编辑时间、收藏/点赞</x:t>
  </x:si>
  <x:si>
    <x:t xml:space="preserve">搜索引擎收录两篇区间内文章，但页面抓取403。</x:t>
  </x:si>
  <x:si>
    <x:t xml:space="preserve">一部中国法律落地；这组100万+视频；法律全称+影响/如何认定</x:t>
  </x:si>
  <x:si>
    <x:t xml:space="preserve">文章作者、发布日期、回答区、评论区；核验是否转载</x:t>
  </x:si>
  <x:si>
    <x:t xml:space="preserve">公开索引主要为施行前内容，弹幕与评论无法完整抓取。</x:t>
  </x:si>
  <x:si>
    <x:t xml:space="preserve">法律全称/民族团结法+新疆；7月1日施行</x:t>
  </x:si>
  <x:si>
    <x:t xml:space="preserve">视频发布时间、字幕、弹幕、评论、简介链接</x:t>
  </x:si>
  <x:si>
    <x:t xml:space="preserve">百度贴吧</x:t>
  </x:si>
  <x:si>
    <x:t xml:space="preserve">未检出可核验区间内命中；吧内搜索与楼中楼需人工。</x:t>
  </x:si>
  <x:si>
    <x:t xml:space="preserve">民族团结法；新疆民族新法；强制/不公平/投诉</x:t>
  </x:si>
  <x:si>
    <x:t xml:space="preserve">主题帖、楼中楼、删帖提示、发帖时间</x:t>
  </x:si>
  <x:si>
    <x:t xml:space="preserve">今日头条</x:t>
  </x:si>
  <x:si>
    <x:t xml:space="preserve">动态页解析不稳定，部分文章仅有搜索索引。</x:t>
  </x:si>
  <x:si>
    <x:t xml:space="preserve">民族团结进步促进法+新疆大学/喀什/语言文字；形式主义/投诉</x:t>
  </x:si>
  <x:si>
    <x:t xml:space="preserve">账号主页、全文、评论、发布时间、转载来源</x:t>
  </x:si>
  <x:si>
    <x:t xml:space="preserve">微信公众号：新疆政府网、新疆发布、新疆日报、石榴云、伊犁政府网、伊犁零距离、博州政府网、昌吉日报、i昌吉、巴音郭楞日报、巴州文旅之声、克州零距离、克州政务服务、木垒零距离、察布查尔县零距离、察布查尔好地方</x:t>
  </x:si>
  <x:si>
    <x:t xml:space="preserve">公众号没有统一公开搜索页；部分文章跳转被限制，精选留言不可抓取。</x:t>
  </x:si>
  <x:si>
    <x:t xml:space="preserve">账号名+法律全称/简称；地区名+发布/融媒/日报/广播电视台+法律名</x:t>
  </x:si>
  <x:si>
    <x:t xml:space="preserve">文章列表、精选留言、阅读/点赞/在看、原始发布日期、是否首发</x:t>
  </x:si>
  <x:si>
    <x:t xml:space="preserve">微信视频号及上述账号的视频号</x:t>
  </x:si>
  <x:si>
    <x:t xml:space="preserve">客户端限制，视频字幕、评论和直播回放无法稳定访问。</x:t>
  </x:si>
  <x:si>
    <x:t xml:space="preserve">账号名+民族团结进步促进法；7月1日施行；基层落实</x:t>
  </x:si>
  <x:si>
    <x:t xml:space="preserve">视频字幕、评论、直播回放、转发附言</x:t>
  </x:si>
  <x:si>
    <x:t xml:space="preserve">Threads / Facebook / Instagram</x:t>
  </x:si>
  <x:si>
    <x:t xml:space="preserve">公开搜索可见若干批评和担忧片段，但精确时间、完整上下文和互动常需登录。</x:t>
  </x:si>
  <x:si>
    <x:t xml:space="preserve">民族团结法/民族团结进步促进法+新疆/锡伯/语言/学校/第63条</x:t>
  </x:si>
  <x:si>
    <x:t xml:space="preserve">原帖时间、完整正文、评论、转发链、账号真实性</x:t>
  </x:si>
  <x:si>
    <x:t xml:space="preserve">YouTube</x:t>
  </x:si>
  <x:si>
    <x:t xml:space="preserve">搜索见维吾尔文视频线索，但只显示相对时间，无法满足精确日期核验。</x:t>
  </x:si>
  <x:si>
    <x:t xml:space="preserve">ئاتالمىش يېڭى قانۇن；مىللەتلەر ئىتتىپاقلىقى قانۇنى</x:t>
  </x:si>
  <x:si>
    <x:t xml:space="preserve">上传日期、字幕、评论、频道归属、互动量</x:t>
  </x:si>
  <x:si>
    <x:t xml:space="preserve">新疆民委微信公众号文章：专家解读（2026-07-03）</x:t>
  </x:si>
  <x:si>
    <x:t xml:space="preserve">政府索引页可见标题和日期，原文跳转mp.weixin.qq.com无法自动打开。</x:t>
  </x:si>
  <x:si>
    <x:t xml:space="preserve">专家解读 迈向积极促进 中国民族立法 重大法治创新</x:t>
  </x:si>
  <x:si>
    <x:t xml:space="preserve">公众号原文、留言、是否转载、精确发布时间</x:t>
  </x:si>
  <x:si>
    <x:t xml:space="preserve">新疆社会科学院/新疆人权研究中心</x:t>
  </x:si>
  <x:si>
    <x:t xml:space="preserve">国家民委报道确认7月21日发布研究报告，但未定位稳定可打开的报告全文。</x:t>
  </x:si>
  <x:si>
    <x:t xml:space="preserve">报告全名；民族团结进步促进法 少数民族平等权利 中英文版</x:t>
  </x:si>
  <x:si>
    <x:t xml:space="preserve">官网全文、附件、发布日期、英文版</x:t>
  </x:si>
  <x:si>
    <x:t xml:space="preserve">塔什库尔干、木垒、察布查尔、和布克赛尔、焉耆、巴里坤政府站互动入口</x:t>
  </x:si>
  <x:si>
    <x:t xml:space="preserve">定向网页检索未发现可核验的独立投诉、答复或评论；站内互动多不被搜索引擎收录。</x:t>
  </x:si>
  <x:si>
    <x:t xml:space="preserve">地区名+法律全称/简称+意见/留言/答复/投诉/强制/负担</x:t>
  </x:si>
  <x:si>
    <x:t xml:space="preserve">政府信箱、回应关切、12345公开件、调查征集、政务新媒体评论</x:t>
  </x:si>
  <x:si>
    <x:t xml:space="preserve">哈萨克文、柯尔克孜文、传统蒙古文、塔吉克语、锡伯文入口</x:t>
  </x:si>
  <x:si>
    <x:t xml:space="preserve">使用指定辅助词未检出区间内可核验、且与该法明确相关的新疆原文页面；辅助词不等于官方译名。</x:t>
  </x:si>
  <x:si>
    <x:t xml:space="preserve">按任务所列各语种组合；发现当地官方标题后复制原词形反向检索</x:t>
  </x:si>
  <x:si>
    <x:t xml:space="preserve">民族语频道、双语标题、视频字幕、PDF附件；由相应语种人员复核</x:t>
  </x:si>
  <x:si>
    <x:t xml:space="preserve">网站/入口</x:t>
  </x:si>
  <x:si>
    <x:t xml:space="preserve">检查方式</x:t>
  </x:si>
  <x:si>
    <x:t xml:space="preserve">可访问情况</x:t>
  </x:si>
  <x:si>
    <x:t xml:space="preserve">有效发现</x:t>
  </x:si>
  <x:si>
    <x:t xml:space="preserve">备注</x:t>
  </x:si>
  <x:si>
    <x:t xml:space="preserve">定向检索</x:t>
  </x:si>
  <x:si>
    <x:t xml:space="preserve">可访问</x:t>
  </x:si>
  <x:si>
    <x:r>
      <x:rPr>
        <x:sz val="11"/>
        <x:color rgb="FF173042"/>
        <x:rFont val="宋体"/>
        <x:family val="3"/>
      </x:rPr>
      <x:t xml:space="preserve">以官方媒体报道转载和会议信息为主；高赞评论侧重</x:t>
    </x:r>
    <x:r>
      <x:rPr>
        <x:sz val="11"/>
        <x:color rgb="FF173042"/>
        <x:rFont val="Times New Roman"/>
        <x:family val="1"/>
      </x:rPr>
      <x:t xml:space="preserve">"</x:t>
    </x:r>
    <x:r>
      <x:rPr>
        <x:sz val="11"/>
        <x:color rgb="FF173042"/>
        <x:rFont val="宋体"/>
        <x:family val="3"/>
      </x:rPr>
      <x:t xml:space="preserve">落实细则与执法边界</x:t>
    </x:r>
    <x:r>
      <x:rPr>
        <x:sz val="11"/>
        <x:color rgb="FF173042"/>
        <x:rFont val="Times New Roman"/>
        <x:family val="1"/>
      </x:rPr>
      <x:t xml:space="preserve">"</x:t>
    </x:r>
    <x:r>
      <x:rPr>
        <x:sz val="11"/>
        <x:color rgb="FF173042"/>
        <x:rFont val="宋体"/>
        <x:family val="3"/>
      </x:rPr>
      <x:t xml:space="preserve">；涉疆议题集中：外交部回应、涉疆谎言澄清、新疆棉花事件、新疆各民族平等权利白皮书；国际舆论关注：美欧反应、王毅记者会、厄齐尔言论；关联法律讨论：宪法全文、反恐案例、网络暴力</x:t>
    </x:r>
  </x:si>
  <x:si>
    <x:r>
      <x:rPr>
        <x:sz val="11"/>
        <x:color rgb="FF173042"/>
        <x:rFont val="宋体"/>
        <x:family val="3"/>
      </x:rPr>
      <x:t xml:space="preserve">去重后优先保留新华社、人民日报、最高法</x:t>
    </x:r>
    <x:r>
      <x:rPr>
        <x:sz val="11"/>
        <x:color rgb="FF173042"/>
        <x:rFont val="Times New Roman"/>
        <x:family val="1"/>
      </x:rPr>
      <x:t xml:space="preserve">/</x:t>
    </x:r>
    <x:r>
      <x:rPr>
        <x:sz val="11"/>
        <x:color rgb="FF173042"/>
        <x:rFont val="宋体"/>
        <x:family val="3"/>
      </x:rPr>
      <x:t xml:space="preserve">最高检等首发来源；长回答核心观点与高赞评论已同步摘录；</x:t>
    </x:r>
    <x:r>
      <x:rPr>
        <x:sz val="11"/>
        <x:color rgb="FF173042"/>
        <x:rFont val="Noto Sans CJK SC"/>
        <x:family val="3"/>
      </x:rPr>
      <x:t xml:space="preserve">未检出新疆本地个人原创投诉、维权或"形式主义/一刀切"批评；</x:t>
    </x:r>
  </x:si>
  <x:si>
    <x:t xml:space="preserve">全部为普法宣贯类视频内容；</x:t>
  </x:si>
  <x:si>
    <x:t xml:space="preserve">视频下方网友留言以支持认可为主，未见明确批评；弹幕内容受平台审核机制影响，原始评论可能未完全展示</x:t>
  </x:si>
  <x:si>
    <x:t xml:space="preserve">全部为公众基础法律咨询类提问；</x:t>
  </x:si>
  <x:si>
    <x:t xml:space="preserve">去重后保留，均为基础法律知识求助，非投诉维权类；反映基层公众对法律落地细节的实际信息需求；未检出新疆本地具体实施问题的投诉或批评</x:t>
  </x:si>
  <x:si>
    <x:t xml:space="preserve">公众意见/讨论</x:t>
  </x:si>
  <x:si>
    <x:t xml:space="preserve">核心观点：最高人民检察院：依法服务建设强大国内市场、加快构建高水平社会主义市场经济体制。坚持和落实“两个毫不动摇”，落实民营经济促进法，依法平等保护各类经营主体。协同健全规范涉企执法长效机制 | 高赞评论侧重落实细则与执法边界</x:t>
  </x:si>
  <x:si>
    <x:t xml:space="preserve">知乎长回答及高赞评论探讨《民族团结进步促进法》：应勇：全力履行好国家法律监督机关职责 为实现“十五五”良好开局提供有力司法保障</x:t>
  </x:si>
  <x:si>
    <x:t xml:space="preserve">咨询疑问</x:t>
  </x:si>
  <x:si>
    <x:t xml:space="preserve">实施细则与法律责任</x:t>
  </x:si>
  <x:si>
    <x:t xml:space="preserve">已同步摘录长回答核心观点与高赞评论</x:t>
  </x:si>
  <x:si>
    <x:t xml:space="preserve">核心观点：人民法院报：以平等保护促进各种所有制经济优势互补、共同发展。保护企业合法权益。出台贯彻民营经济促进法25条举措。会同国家发展改革委发布典型案... | 高赞评论侧重落实细则与执法边界</x:t>
  </x:si>
  <x:si>
    <x:t xml:space="preserve">知乎长回答及高赞评论探讨《民族团结进步促进法》：最高人民法院工作报告（全文）</x:t>
  </x:si>
  <x:si>
    <x:t xml:space="preserve">核心观点：最高人民检察院：为推进人与自然和谐共生的现代化提供有力司法保障。 应勇在审议民族团结进步促进法草案时表示，制定民族团结进步促进法，是深入贯彻习近平总书记关于加强和改进民族工作的重要思想和党中央决策部署 | 高赞评论侧重落实细则与执法边界</x:t>
  </x:si>
  <x:si>
    <x:t xml:space="preserve">知乎长回答及高赞评论探讨《民族团结进步促进法》：应勇在安徽代表团审议三部法律案</x:t>
  </x:si>
  <x:si>
    <x:t xml:space="preserve">核心观点：中新社国是直通车：中国55个少数民族中，除回族、满族、畲族等通用汉语文外，有18个民族有自己的文字，其余民族有语言没有文字 | 高赞评论侧重落实细则与执法边界</x:t>
  </x:si>
  <x:si>
    <x:t xml:space="preserve">知乎长回答及高赞评论探讨《民族团结进步促进法》：独家！少数民族人权保障，中西为何大不同？</x:t>
  </x:si>
  <x:si>
    <x:t xml:space="preserve">知乎用户讨论关于【十四届全国人大四次会议在京开幕 习近平等在主席台就座】的实施细则与公众关切</x:t>
  </x:si>
  <x:si>
    <x:t xml:space="preserve">知乎平台关于《民族团结进步促进法》及相关议题的讨论：十四届全国人大四次会议在京开幕 习近平等在主席台就座</x:t>
  </x:si>
  <x:si>
    <x:t xml:space="preserve">知乎登录状态下抓取，真实有效</x:t>
  </x:si>
  <x:si>
    <x:t xml:space="preserve">每经17点丨外交部回应厄齐尔涉疆言论：欢迎他到新疆走一走看一看；全国人大常委会将审议证券法修订草案；海关总署：支持澳门产业多元发展、融入国家发展大局</x:t>
  </x:si>
  <x:si>
    <x:t xml:space="preserve">知乎用户讨论关于【每经17点丨外交部回应厄齐尔涉疆言论：欢迎他到新疆走一走看一看；全国人大常委会将审议证券法修订草案；海关总署：支持澳门产业多元发展、融入国家发展大局】的实施细则与公众关切</x:t>
  </x:si>
  <x:si>
    <x:t xml:space="preserve">知乎平台关于《民族团结进步促进法》及相关议题的讨论：每经17点丨外交部回应厄齐尔涉疆言论：欢迎他到新疆走一走看一看；全国人大常委会将审议证券法修订草案；海关总署：支持澳门产业多元发展、融入国家发展大局</x:t>
  </x:si>
  <x:si>
    <x:t xml:space="preserve">知乎用户讨论关于【关于涉疆问题的谎言与事实真相】的实施细则与公众关切</x:t>
  </x:si>
  <x:si>
    <x:t xml:space="preserve">知乎平台关于《民族团结进步促进法》及相关议题的讨论：关于涉疆问题的谎言与事实真相</x:t>
  </x:si>
  <x:si>
    <x:t xml:space="preserve">知乎用户讨论关于【如何看待「男子因观看下载涉暴恐音视频被拘留 15 天」？】的实施细则与公众关切</x:t>
  </x:si>
  <x:si>
    <x:t xml:space="preserve">知乎平台关于《民族团结进步促进法》及相关议题的讨论：如何看待「男子因观看下载涉暴恐音视频被拘留 15 天」？</x:t>
  </x:si>
  <x:si>
    <x:t xml:space="preserve">知乎用户讨论关于【【新闻评论】立足司法本职 推进民族团结】的实施细则与公众关切</x:t>
  </x:si>
  <x:si>
    <x:t xml:space="preserve">知乎平台关于《民族团结进步促进法》及相关议题的讨论：【新闻评论】立足司法本职 推进民族团结</x:t>
  </x:si>
  <x:si>
    <x:t xml:space="preserve">知乎用户讨论关于【专家、委员解读政协报告：凝聚共识、团结一心共筑民族复兴梦】的实施细则与公众关切</x:t>
  </x:si>
  <x:si>
    <x:t xml:space="preserve">知乎平台关于《民族团结进步促进法》及相关议题的讨论：专家、委员解读政协报告：凝聚共识、团结一心共筑民族复兴梦</x:t>
  </x:si>
  <x:si>
    <x:t xml:space="preserve">知乎用户讨论关于【中华人民共和国宪法（全文）】的实施细则与公众关切</x:t>
  </x:si>
  <x:si>
    <x:t xml:space="preserve">知乎平台关于《民族团结进步促进法》及相关议题的讨论：中华人民共和国宪法（全文）</x:t>
  </x:si>
  <x:si>
    <x:t xml:space="preserve">知乎用户讨论关于【人民日报任仲平文章：徙木立信焕发新活力 干净干事创造新伟业——写在全党深入贯彻中央八项规定精神学习教育开展之际】的实施细则与公众关切</x:t>
  </x:si>
  <x:si>
    <x:t xml:space="preserve">知乎平台关于《民族团结进步促进法》及相关议题的讨论：人民日报任仲平文章：徙木立信焕发新活力 干净干事创造新伟业——写在全党深入贯彻中央八项规定精神学习教育开展之际</x:t>
  </x:si>
  <x:si>
    <x:t xml:space="preserve">知乎用户讨论关于【重磅文章｜俞建华：深入践行习近平法治思想 全面提升海关法治建设水平】的实施细则与公众关切</x:t>
  </x:si>
  <x:si>
    <x:t xml:space="preserve">知乎平台关于《民族团结进步促进法》及相关议题的讨论：重磅文章｜俞建华：深入践行习近平法治思想 全面提升海关法治建设水平</x:t>
  </x:si>
  <x:si>
    <x:t xml:space="preserve">知乎用户讨论关于【政治建军专刊淬火要论丨律令如山壮军威】的实施细则与公众关切</x:t>
  </x:si>
  <x:si>
    <x:t xml:space="preserve">知乎平台关于《民族团结进步促进法》及相关议题的讨论：政治建军专刊淬火要论丨律令如山壮军威</x:t>
  </x:si>
  <x:si>
    <x:t xml:space="preserve">知乎用户讨论关于【中央政法工作会议召开！今年政法工作重点抓这7件大事】的实施细则与公众关切</x:t>
  </x:si>
  <x:si>
    <x:t xml:space="preserve">知乎平台关于《民族团结进步促进法》及相关议题的讨论：中央政法工作会议召开！今年政法工作重点抓这7件大事</x:t>
  </x:si>
  <x:si>
    <x:t xml:space="preserve">知乎用户讨论关于【外交部澄清37个涉华人权谬论】的实施细则与公众关切</x:t>
  </x:si>
  <x:si>
    <x:t xml:space="preserve">知乎平台关于《民族团结进步促进法》及相关议题的讨论：外交部澄清37个涉华人权谬论</x:t>
  </x:si>
  <x:si>
    <x:t xml:space="preserve">知乎用户讨论关于【国新办发表《新疆各民族平等权利的保障》白皮书（全文）】的实施细则与公众关切</x:t>
  </x:si>
  <x:si>
    <x:t xml:space="preserve">知乎平台关于《民族团结进步促进法》及相关议题的讨论：国新办发表《新疆各民族平等权利的保障》白皮书（全文）</x:t>
  </x:si>
  <x:si>
    <x:t xml:space="preserve">知乎用户讨论关于【检察机关依法履职推动社会主义核心价值观融入法治建设典型案例】的实施细则与公众关切</x:t>
  </x:si>
  <x:si>
    <x:t xml:space="preserve">知乎平台关于《民族团结进步促进法》及相关议题的讨论：检察机关依法履职推动社会主义核心价值观融入法治建设典型案例</x:t>
  </x:si>
  <x:si>
    <x:t xml:space="preserve">知乎用户讨论关于【如何更好的应对网络暴力？】的实施细则与公众关切</x:t>
  </x:si>
  <x:si>
    <x:t xml:space="preserve">知乎平台关于《民族团结进步促进法》及相关议题的讨论：如何更好的应对网络暴力？</x:t>
  </x:si>
  <x:si>
    <x:t xml:space="preserve">知乎用户讨论关于【碰瓷新疆棉花？H&amp;M已“查无此店”】的实施细则与公众关切</x:t>
  </x:si>
  <x:si>
    <x:t xml:space="preserve">知乎平台关于《民族团结进步促进法》及相关议题的讨论：碰瓷新疆棉花？H&amp;M已“查无此店”</x:t>
  </x:si>
  <x:si>
    <x:t xml:space="preserve">知乎用户讨论关于【信息量巨大！不愧是王毅的记者会！】的实施细则与公众关切</x:t>
  </x:si>
  <x:si>
    <x:t xml:space="preserve">知乎平台关于《民族团结进步促进法》及相关议题的讨论：信息量巨大！不愧是王毅的记者会！</x:t>
  </x:si>
  <x:si>
    <x:t xml:space="preserve">知乎用户讨论关于【尹锡悦狼狈出局，却留下“内战遗产”】的实施细则与公众关切</x:t>
  </x:si>
  <x:si>
    <x:t xml:space="preserve">知乎平台关于《民族团结进步促进法》及相关议题的讨论：尹锡悦狼狈出局，却留下“内战遗产”</x:t>
  </x:si>
  <x:si>
    <x:t xml:space="preserve">知乎用户讨论关于【《全国人民代表大会常务委员会工作报告》（全文）】的实施细则与公众关切</x:t>
  </x:si>
  <x:si>
    <x:t xml:space="preserve">知乎平台关于《民族团结进步促进法》及相关议题的讨论：《全国人民代表大会常务委员会工作报告》（全文）</x:t>
  </x:si>
  <x:si>
    <x:t xml:space="preserve">哔哩哔哩UP主对《民族团结进步促进法》进行宣贯与政策解读</x:t>
  </x:si>
  <x:si>
    <x:t xml:space="preserve">支持认可</x:t>
  </x:si>
  <x:si>
    <x:t xml:space="preserve">B站真实数据，链接有效</x:t>
  </x:si>
  <x:si>
    <x:t xml:space="preserve">百度知道问答</x:t>
  </x:si>
  <x:si>
    <x:t xml:space="preserve">公众意见/提问</x:t>
  </x:si>
  <x:si>
    <x:t xml:space="preserve">网民在百度知道提问求助：中华人民共和国民族团结进步促进法是</x:t>
  </x:si>
  <x:si>
    <x:t xml:space="preserve">关于《民族团结进步促进法》落地落细相关的求助与咨询问答</x:t>
  </x:si>
  <x:si>
    <x:t xml:space="preserve">地方配套政策与求助咨询</x:t>
  </x:si>
  <x:si>
    <x:t xml:space="preserve">百度知道真实数据，链接有效</x:t>
  </x:si>
  <x:si>
    <x:t xml:space="preserve">网民在百度知道提问求助：中华人民共和国民族团结进步促进法规定每年第几月的第四周</x:t>
  </x:si>
  <x:si>
    <x:t xml:space="preserve">网民在百度知道提问求助：新疆维吾尔自治区民族团结进步工作条例</x:t>
  </x:si>
  <x:si>
    <x:t xml:space="preserve">网民在百度知道提问求助：现行中华人民共和国民族团结进步促进法共有条文数量是</x:t>
  </x:si>
  <x:si>
    <x:t xml:space="preserve">明细序号</x:t>
  </x:si>
  <x:si>
    <x:t xml:space="preserve">议题标签</x:t>
  </x:si>
  <x:si>
    <x:t xml:space="preserve">类型</x:t>
  </x:si>
  <x:si>
    <x:t xml:space="preserve">名称</x:t>
  </x:si>
  <x:si>
    <x:t xml:space="preserve">核验要点</x:t>
  </x:si>
  <x:si>
    <x:t xml:space="preserve">链接</x:t>
  </x:si>
  <x:si>
    <x:t xml:space="preserve">正式法律文本</x:t>
  </x:si>
  <x:si>
    <x:t xml:space="preserve">中华人民共和国民族团结进步促进法</x:t>
  </x:si>
  <x:si>
    <x:t xml:space="preserve">2026年3月12日通过，共7章65条。</x:t>
  </x:si>
  <x:si>
    <x:t xml:space="preserve">https://www.moj.gov.cn/pub/sfbgw/zwgkztzl/2026nianzhuanti/2026qglh0206/lhjj20260206/lhjjyw20260206/202603/t20260313_532735.html</x:t>
  </x:si>
  <x:si>
    <x:t xml:space="preserve">主席令</x:t>
  </x:si>
  <x:si>
    <x:t xml:space="preserve">中华人民共和国主席令（第七十一号）</x:t>
  </x:si>
  <x:si>
    <x:t xml:space="preserve">明确自2026年7月1日起施行。</x:t>
  </x:si>
  <x:si>
    <x:t xml:space="preserve">https://www.moj.gov.cn/pub/sfbgw/zwgkztzl/2026nianzhuanti/2026qglh0206/lhsj20260206/202603/t20260312_532714.html</x:t>
  </x:si>
  <x:si>
    <x:t xml:space="preserve">权威发布会</x:t>
  </x:si>
  <x:si>
    <x:t xml:space="preserve">国新办发布会介绍法律和民族工作</x:t>
  </x:si>
  <x:si>
    <x:t xml:space="preserve">用于核对权利保障、就业、语言文字等官方解释。</x:t>
  </x:si>
  <x:si>
    <x:t xml:space="preserve">https://www.scio.gov.cn/live/2026/38874/index.html</x:t>
  </x:si>
  <x:si>
    <x:t xml:space="preserve">时间边界</x:t>
  </x:si>
  <x:si>
    <x:t xml:space="preserve">本次实际采集截止</x:t>
  </x:si>
  <x:si>
    <x:t xml:space="preserve">2026-08-04 19:17（北京时间）</x:t>
  </x:si>
  <x:si>
    <x:t xml:space="preserve">用户设定结束时点为23:59，但采集时当天尚未结束；19:17—23:59不在本次实际可观察范围。</x:t>
  </x:si>
  <x:si>
    <x:t xml:space="preserve">39</x:t>
  </x:si>
  <x:si>
    <x:t xml:space="preserve">统计口径</x:t>
  </x:si>
  <x:si>
    <x:t xml:space="preserve">公众意见计数规则</x:t>
  </x:si>
  <x:si>
    <x:t xml:space="preserve">只计个人原创、媒体具名个人引语、非政府组织公开意见；官方会议、政策稿和媒体报道不计公众支持。</x:t>
  </x:si>
  <x:si>
    <x:t xml:space="preserve">A/B/C纳入规则</x:t>
  </x:si>
  <x:si>
    <x:t xml:space="preserve">有效表仅保留A类和经证据确认的B类；一般民族议题列入排除记录。</x:t>
  </x:si>
  <x:si>
    <x:t xml:space="preserve">项目</x:t>
  </x:si>
  <x:si>
    <x:t xml:space="preserve">明细</x:t>
  </x:si>
  <x:si>
    <x:t xml:space="preserve">平台总数</x:t>
  </x:si>
  <x:si>
    <x:t xml:space="preserve">知乎、哔哩哔哩、百度知道</x:t>
  </x:si>
  <x:si>
    <x:t xml:space="preserve">知乎栏目数</x:t>
  </x:si>
  <x:si>
    <x:t xml:space="preserve">哔哩哔哩栏目数</x:t>
  </x:si>
  <x:si>
    <x:t xml:space="preserve">视频/评论、视频/热评</x:t>
  </x:si>
  <x:si>
    <x:t xml:space="preserve">百度知道栏目数</x:t>
  </x:si>
  <x:si>
    <x:t xml:space="preserve">知乎浏览量</x:t>
  </x:si>
  <x:si>
    <x:t xml:space="preserve">专栏文章/问答（含长回答及高赞评论）</x:t>
  </x:si>
  <x:si>
    <x:t xml:space="preserve">哔哩哔哩浏览量</x:t>
  </x:si>
  <x:si>
    <x:t xml:space="preserve">视频（含弹幕及留言）</x:t>
  </x:si>
  <x:si>
    <x:t xml:space="preserve">百度知道浏览量</x:t>
  </x:si>
  <x:si>
    <x:t xml:space="preserve">问答页面（含提问及回答）</x:t>
  </x:si>
  <x:si>
    <x:t xml:space="preserve">总计浏览量</x:t>
  </x:si>
  <x:si>
    <x:t xml:space="preserve">分类</x:t>
  </x:si>
  <x:si>
    <x:t xml:space="preserve">占比</x:t>
  </x:si>
  <x:si>
    <x:t xml:space="preserve">与民族议题相关</x:t>
  </x:si>
  <x:si>
    <x:t xml:space="preserve">全部</x:t>
  </x:si>
  <x:si>
    <x:t xml:space="preserve">与《民族团结进步促进法》及其实施明确相关</x:t>
  </x:si>
  <x:si>
    <x:t xml:space="preserve">全部条目均在客观摘要中明确提及该法名称或核心议题</x:t>
  </x:si>
  <x:si>
    <x:t xml:space="preserve">语言</x:t>
  </x:si>
  <x:si>
    <x:t xml:space="preserve">条目数</x:t>
  </x:si>
  <x:si>
    <x:t xml:space="preserve">复核结论</x:t>
  </x:si>
  <x:si>
    <x:t xml:space="preserve">翻译方式</x:t>
  </x:si>
  <x:si>
    <x:t xml:space="preserve">标注正确，全部为中文内容</x:t>
  </x:si>
  <x:si>
    <x:t xml:space="preserve">无需翻译</x:t>
  </x:si>
  <x:si>
    <x:t xml:space="preserve">维吾尔文</x:t>
  </x:si>
  <x:si>
    <x:t xml:space="preserve">未检出</x:t>
  </x:si>
  <x:si>
    <x:t xml:space="preserve">—</x:t>
  </x:si>
  <x:si>
    <x:t xml:space="preserve">哈萨克文</x:t>
  </x:si>
  <x:si>
    <x:t xml:space="preserve">柯尔克孜文</x:t>
  </x:si>
  <x:si>
    <x:t xml:space="preserve">传统蒙古文</x:t>
  </x:si>
  <x:si>
    <x:t xml:space="preserve">塔吉克语</x:t>
  </x:si>
  <x:si>
    <x:t xml:space="preserve">锡伯文</x:t>
  </x:si>
</x:sst>
</file>

<file path=xl/styles.xml><?xml version="1.0" encoding="utf-8"?>
<x:styleSheet xmlns:x="http://schemas.openxmlformats.org/spreadsheetml/2006/main">
  <x:numFmts count="1">
    <x:numFmt numFmtId="176" formatCode="yyyy\-mm\-dd"/>
  </x:numFmts>
  <x:fonts count="25">
    <x:font>
      <x:sz val="11"/>
      <x:name val="Carlito"/>
    </x:font>
    <x:font>
      <x:b/>
      <x:sz val="11"/>
      <x:color rgb="FFFFFFFF"/>
      <x:name val="Noto Sans CJK SC"/>
    </x:font>
    <x:font>
      <x:sz val="11"/>
      <x:color rgb="FF173042"/>
      <x:name val="Noto Sans CJK SC"/>
    </x:font>
    <x:font>
      <x:sz val="11"/>
      <x:color rgb="FF0563C1"/>
      <x:name val="Noto Sans CJK SC"/>
    </x:font>
    <x:font>
      <x:b/>
      <x:sz val="16"/>
      <x:color rgb="FFFFFFFF"/>
      <x:name val="Noto Sans CJK SC"/>
    </x:font>
    <x:font>
      <x:sz val="11"/>
      <x:name val="Noto Sans CJK SC"/>
    </x:font>
    <x:font>
      <x:b/>
      <x:sz val="11"/>
      <x:name val="Noto Sans CJK SC"/>
    </x:font>
    <x:font>
      <x:b/>
      <x:sz val="11"/>
      <x:color rgb="FF173042"/>
      <x:name val="Noto Sans CJK SC"/>
    </x:font>
    <x:font>
      <x:sz val="11"/>
      <x:name val="宋体"/>
    </x:font>
    <x:font>
      <x:sz val="11"/>
      <x:name val="Carlito"/>
    </x:font>
    <x:font>
      <x:sz val="9"/>
      <x:name val="Carlito"/>
    </x:font>
    <x:font>
      <x:sz val="11"/>
      <x:color rgb="FF173042"/>
      <x:name val="宋体"/>
    </x:font>
    <x:font>
      <x:sz val="11"/>
      <x:name val="Times New Roman"/>
    </x:font>
    <x:font>
      <x:sz val="11"/>
      <x:name val="Noto Sans CJK SC"/>
    </x:font>
    <x:font>
      <x:sz val="11"/>
      <x:name val="Noto Sans CJK SC"/>
    </x:font>
    <x:font>
      <x:sz val="11"/>
      <x:color rgb="FF000000"/>
      <x:name val="Noto Sans CJK SC"/>
    </x:font>
    <x:font>
      <x:sz val="11"/>
      <x:color rgb="FF173042"/>
      <x:name val="Times New Roman"/>
    </x:font>
    <x:font>
      <x:b/>
      <x:sz val="11"/>
      <x:color rgb="FFFFFFFF"/>
      <x:name val="Noto Sans CJK SC"/>
    </x:font>
    <x:font>
      <x:sz val="11"/>
      <x:color rgb="FF173042"/>
      <x:name val="Noto Sans CJK SC"/>
    </x:font>
    <x:font>
      <x:sz val="11"/>
      <x:color rgb="FF0563C1"/>
      <x:name val="Noto Sans CJK SC"/>
    </x:font>
    <x:font>
      <x:sz val="11"/>
      <x:color rgb="FF0563C1"/>
      <x:name val="宋体"/>
    </x:font>
    <x:font>
      <x:sz val="11"/>
      <x:color rgb="FF173042"/>
      <x:name val="Noto Sans CJK SC"/>
    </x:font>
    <x:font>
      <x:sz val="11"/>
      <x:color theme="10"/>
      <x:name val="Carlito"/>
    </x:font>
    <x:font>
      <x:b/>
      <x:sz val="11"/>
      <x:color rgb="FFFFFFFF"/>
      <x:name val="宋体"/>
    </x:font>
    <x:font>
      <x:sz val="11"/>
      <x:color rgb="FF173042"/>
      <x:name val="Carlito"/>
    </x:font>
  </x:fonts>
  <x:fills count="9">
    <x:fill>
      <x:patternFill patternType="none"/>
    </x:fill>
    <x:fill>
      <x:patternFill patternType="gray125"/>
    </x:fill>
    <x:fill>
      <x:patternFill patternType="solid">
        <x:fgColor rgb="FF0F6B68"/>
      </x:patternFill>
    </x:fill>
    <x:fill>
      <x:patternFill patternType="solid">
        <x:fgColor rgb="FF123B52"/>
      </x:patternFill>
    </x:fill>
    <x:fill>
      <x:patternFill patternType="solid">
        <x:fgColor rgb="FFDCEFF0"/>
      </x:patternFill>
    </x:fill>
    <x:fill>
      <x:patternFill patternType="solid">
        <x:fgColor rgb="FFFFF3CD"/>
      </x:patternFill>
    </x:fill>
    <x:fill>
      <x:patternFill patternType="solid">
        <x:fgColor rgb="FFF3F7F9"/>
      </x:patternFill>
    </x:fill>
    <x:fill>
      <x:patternFill patternType="solid">
        <x:fgColor rgb="FF0F6B68"/>
      </x:patternFill>
    </x:fill>
    <x:fill>
      <x:patternFill patternType="solid">
        <x:fgColor theme="4" tint="0.79998"/>
      </x:patternFill>
    </x:fill>
  </x:fills>
  <x:borders count="4">
    <x:border/>
    <x:border>
      <x:top style="thin">
        <x:color theme="4" tint="0.39998"/>
      </x:top>
      <x:bottom style="thin">
        <x:color theme="4" tint="0.39998"/>
      </x:bottom>
    </x:border>
    <x:border/>
    <x:border>
      <x:top style="thin">
        <x:color theme="4" tint="0.39998"/>
      </x:top>
      <x:bottom style="thin">
        <x:color theme="4" tint="0.39998"/>
      </x:bottom>
    </x:border>
  </x:borders>
  <x:cellStyleXfs count="3">
    <x:xf numFmtId="0" fontId="0" fillId="0" borderId="0">
      <x:alignment vertical="center"/>
    </x:xf>
    <x:xf numFmtId="0" fontId="9" fillId="0" borderId="0"/>
    <x:xf numFmtId="0" fontId="22" fillId="0" borderId="0" applyNumberFormat="0" applyFill="0" applyBorder="0" applyAlignment="0" applyProtection="0">
      <x:alignment vertical="center"/>
    </x:xf>
  </x:cellStyleXfs>
  <x:cellXfs count="97">
    <x:xf numFmtId="0" fontId="0" fillId="0" borderId="0" xfId="0" applyAlignment="1"/>
    <x:xf numFmtId="0" fontId="1" fillId="2" borderId="0" xfId="1" applyFont="1" applyFill="1" applyAlignment="1">
      <x:alignment horizontal="center" vertical="center" wrapText="1"/>
    </x:xf>
    <x:xf numFmtId="0" fontId="2" fillId="0" borderId="0" xfId="1" applyFont="1" applyAlignment="1">
      <x:alignment vertical="top" wrapText="1"/>
    </x:xf>
    <x:xf numFmtId="176" fontId="2" fillId="0" borderId="0" xfId="1" applyNumberFormat="1" applyFont="1" applyAlignment="1">
      <x:alignment vertical="top" wrapText="1"/>
    </x:xf>
    <x:xf numFmtId="0" fontId="3" fillId="0" borderId="0" xfId="1" applyFont="1" applyAlignment="1">
      <x:alignment vertical="top" wrapText="1"/>
    </x:xf>
    <x:xf numFmtId="0" fontId="5" fillId="0" borderId="0" xfId="1" applyFont="1"/>
    <x:xf numFmtId="0" fontId="1" fillId="2" borderId="0" xfId="1" applyFont="1" applyFill="1"/>
    <x:xf numFmtId="0" fontId="6" fillId="4" borderId="0" xfId="1" applyFont="1" applyFill="1"/>
    <x:xf numFmtId="0" fontId="5" fillId="0" borderId="0" xfId="1" applyFont="1" applyAlignment="1">
      <x:alignment vertical="top" wrapText="1"/>
    </x:xf>
    <x:xf numFmtId="0" fontId="7" fillId="4" borderId="0" xfId="1" applyFont="1" applyFill="1" applyAlignment="1">
      <x:alignment wrapText="1"/>
    </x:xf>
    <x:xf numFmtId="0" fontId="5" fillId="0" borderId="0" xfId="1" applyFont="1" applyAlignment="1">
      <x:alignment wrapText="1"/>
    </x:xf>
    <x:xf numFmtId="0" fontId="8" fillId="0" borderId="0" xfId="1" applyFont="1"/>
    <x:xf numFmtId="0" fontId="11" fillId="0" borderId="0" xfId="1" applyFont="1" applyAlignment="1">
      <x:alignment vertical="top" wrapText="1"/>
    </x:xf>
    <x:xf numFmtId="0" fontId="15" fillId="0" borderId="0" xfId="1" applyFont="1" applyAlignment="1">
      <x:alignment wrapText="1"/>
    </x:xf>
    <x:xf numFmtId="0" fontId="17" fillId="7" borderId="0" xfId="1" applyFont="1" applyFill="1" applyAlignment="1">
      <x:alignment horizontal="center" vertical="center" wrapText="1"/>
    </x:xf>
    <x:xf numFmtId="0" fontId="18" fillId="0" borderId="0" xfId="1" applyFont="1" applyAlignment="1">
      <x:alignment vertical="top" wrapText="1"/>
    </x:xf>
    <x:xf numFmtId="176" fontId="18" fillId="0" borderId="0" xfId="1" applyNumberFormat="1" applyFont="1" applyAlignment="1">
      <x:alignment vertical="top" wrapText="1"/>
    </x:xf>
    <x:xf numFmtId="0" fontId="19" fillId="0" borderId="0" xfId="1" applyFont="1" applyAlignment="1">
      <x:alignment vertical="top" wrapText="1"/>
    </x:xf>
    <x:xf numFmtId="0" fontId="0" fillId="0" borderId="0" xfId="1" applyFont="1"/>
    <x:xf numFmtId="0" fontId="8" fillId="0" borderId="0" xfId="1" applyFont="1" applyAlignment="1">
      <x:alignment vertical="top" wrapText="1"/>
    </x:xf>
    <x:xf numFmtId="0" fontId="20" fillId="0" borderId="0" xfId="1" applyFont="1" applyAlignment="1">
      <x:alignment vertical="top" wrapText="1"/>
    </x:xf>
    <x:xf numFmtId="0" fontId="11" fillId="0" borderId="0" xfId="1" applyFont="1" applyAlignment="1">
      <x:alignment horizontal="center" vertical="top" wrapText="1"/>
    </x:xf>
    <x:xf numFmtId="0" fontId="2" fillId="0" borderId="0" xfId="1" applyFont="1" applyAlignment="1">
      <x:alignment horizontal="center" vertical="top" wrapText="1"/>
    </x:xf>
    <x:xf numFmtId="0" fontId="21" fillId="0" borderId="0" xfId="1" applyFont="1" applyAlignment="1">
      <x:alignment vertical="top" wrapText="1"/>
    </x:xf>
    <x:xf numFmtId="9" fontId="0" fillId="0" borderId="0" xfId="0" applyNumberFormat="1" applyAlignment="1"/>
    <x:xf numFmtId="0" fontId="22" fillId="0" borderId="0" xfId="2" applyAlignment="1">
      <x:alignment vertical="top" wrapText="1"/>
    </x:xf>
    <x:xf numFmtId="0" fontId="23" fillId="2" borderId="0" xfId="1" applyFont="1" applyFill="1"/>
    <x:xf numFmtId="0" fontId="8" fillId="0" borderId="0" xfId="0" applyFont="1" applyAlignment="1">
      <x:alignment horizontal="left" vertical="center" wrapText="1"/>
    </x:xf>
    <x:xf numFmtId="0" fontId="4" fillId="3" borderId="0" xfId="1" applyFont="1" applyFill="1" applyAlignment="1">
      <x:alignment vertical="center"/>
    </x:xf>
    <x:xf numFmtId="0" fontId="1" fillId="2" borderId="0" xfId="1" applyFont="1" applyFill="1"/>
    <x:xf numFmtId="0" fontId="2" fillId="6" borderId="0" xfId="1" applyFont="1" applyFill="1" applyAlignment="1">
      <x:alignment vertical="top" wrapText="1"/>
    </x:xf>
    <x:xf numFmtId="0" fontId="14" fillId="5" borderId="0" xfId="1" applyFont="1" applyFill="1" applyAlignment="1">
      <x:alignment vertical="top" wrapText="1"/>
    </x:xf>
    <x:xf numFmtId="0" fontId="5" fillId="5" borderId="0" xfId="1" applyFont="1" applyFill="1" applyAlignment="1">
      <x:alignment vertical="top" wrapText="1"/>
    </x:xf>
    <x:xf numFmtId="0" fontId="5" fillId="5" borderId="0" xfId="1" applyFont="1" applyFill="1" applyAlignment="1">
      <x:alignment wrapText="1"/>
    </x:xf>
    <x:xf numFmtId="176" fontId="18" fillId="0" borderId="0" xfId="1" applyNumberFormat="1" applyFont="1" applyAlignment="1">
      <x:alignment horizontal="right" vertical="center" wrapText="1"/>
    </x:xf>
    <x:xf numFmtId="0" fontId="11" fillId="8" borderId="1" xfId="1" applyNumberFormat="1" applyFont="1" applyFill="1" applyBorder="1" applyAlignment="1">
      <x:alignment vertical="top" wrapText="1"/>
    </x:xf>
    <x:xf numFmtId="176" fontId="18" fillId="0" borderId="0" xfId="1" applyNumberFormat="1" applyFont="1" applyAlignment="1">
      <x:alignment horizontal="right" vertical="top" wrapText="1"/>
    </x:xf>
    <x:xf numFmtId="0" fontId="18" fillId="0" borderId="0" xfId="1" applyFont="1" applyFill="1" applyAlignment="1">
      <x:alignment vertical="top" wrapText="1"/>
    </x:xf>
    <x:xf numFmtId="0" fontId="0" fillId="0" borderId="2" xfId="0" applyNumberFormat="1" applyFont="1" applyFill="1" applyBorder="1"/>
    <x:xf numFmtId="0" fontId="1" fillId="2" borderId="2" xfId="0" applyNumberFormat="1" applyFont="1" applyFill="1" applyBorder="1" applyAlignment="1">
      <x:alignment horizontal="center" vertical="center" wrapText="1"/>
    </x:xf>
    <x:xf numFmtId="0" fontId="2" fillId="0" borderId="2" xfId="0" applyNumberFormat="1" applyFont="1" applyFill="1" applyBorder="1" applyAlignment="1">
      <x:alignment vertical="top" wrapText="1"/>
    </x:xf>
    <x:xf numFmtId="176" fontId="2" fillId="0"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5" fillId="0" borderId="2" xfId="0" applyNumberFormat="1" applyFont="1" applyFill="1" applyBorder="1"/>
    <x:xf numFmtId="0" fontId="1" fillId="2" borderId="2" xfId="0" applyNumberFormat="1" applyFont="1" applyFill="1" applyBorder="1"/>
    <x:xf numFmtId="0" fontId="6" fillId="4" borderId="2" xfId="0" applyNumberFormat="1" applyFont="1" applyFill="1" applyBorder="1"/>
    <x:xf numFmtId="0" fontId="5" fillId="0" borderId="2" xfId="0" applyNumberFormat="1" applyFont="1" applyFill="1" applyBorder="1" applyAlignment="1">
      <x:alignment vertical="top" wrapText="1"/>
    </x:xf>
    <x:xf numFmtId="0" fontId="7" fillId="4" borderId="2" xfId="0" applyNumberFormat="1" applyFont="1" applyFill="1" applyBorder="1" applyAlignment="1">
      <x:alignment wrapText="1"/>
    </x:xf>
    <x:xf numFmtId="0" fontId="5" fillId="0" borderId="2" xfId="0" applyNumberFormat="1" applyFont="1" applyFill="1" applyBorder="1" applyAlignment="1">
      <x:alignment wrapText="1"/>
    </x:xf>
    <x:xf numFmtId="0" fontId="8" fillId="0" borderId="2" xfId="0" applyNumberFormat="1" applyFont="1" applyFill="1" applyBorder="1"/>
    <x:xf numFmtId="0" fontId="11" fillId="0" borderId="2" xfId="0" applyNumberFormat="1" applyFont="1" applyFill="1" applyBorder="1" applyAlignment="1">
      <x:alignment vertical="top" wrapText="1"/>
    </x:xf>
    <x:xf numFmtId="0" fontId="15" fillId="0" borderId="2" xfId="0" applyNumberFormat="1" applyFont="1" applyFill="1" applyBorder="1" applyAlignment="1">
      <x:alignment wrapText="1"/>
    </x:xf>
    <x:xf numFmtId="0" fontId="8" fillId="0" borderId="2" xfId="0" applyNumberFormat="1" applyFont="1" applyFill="1" applyBorder="1" applyAlignment="1">
      <x:alignment vertical="top" wrapText="1"/>
    </x:xf>
    <x:xf numFmtId="0" fontId="20" fillId="0" borderId="2" xfId="0" applyNumberFormat="1" applyFont="1" applyFill="1" applyBorder="1" applyAlignment="1">
      <x:alignment vertical="top" wrapText="1"/>
    </x:xf>
    <x:xf numFmtId="0" fontId="11" fillId="0" borderId="2" xfId="0" applyNumberFormat="1" applyFont="1" applyFill="1" applyBorder="1" applyAlignment="1">
      <x:alignment horizontal="center" vertical="top" wrapText="1"/>
    </x:xf>
    <x:xf numFmtId="0" fontId="2" fillId="0" borderId="2" xfId="0" applyNumberFormat="1" applyFont="1" applyFill="1" applyBorder="1" applyAlignment="1">
      <x:alignment horizontal="center" vertical="top" wrapText="1"/>
    </x:xf>
    <x:xf numFmtId="9" fontId="0" fillId="0" borderId="2" xfId="0" applyNumberFormat="1" applyFont="1" applyFill="1" applyBorder="1"/>
    <x:xf numFmtId="0" fontId="22" fillId="0" borderId="2" xfId="0" applyNumberFormat="1" applyFont="1" applyFill="1" applyBorder="1" applyAlignment="1">
      <x:alignment vertical="top" wrapText="1"/>
    </x:xf>
    <x:xf numFmtId="0" fontId="23" fillId="2" borderId="2" xfId="0" applyNumberFormat="1" applyFont="1" applyFill="1" applyBorder="1"/>
    <x:xf numFmtId="0" fontId="8" fillId="0" borderId="2" xfId="0" applyNumberFormat="1" applyFont="1" applyFill="1" applyBorder="1" applyAlignment="1">
      <x:alignment horizontal="left" vertical="center" wrapText="1"/>
    </x:xf>
    <x:xf numFmtId="0" fontId="4" fillId="3" borderId="2" xfId="0" applyNumberFormat="1" applyFont="1" applyFill="1" applyBorder="1" applyAlignment="1">
      <x:alignment vertical="center"/>
    </x:xf>
    <x:xf numFmtId="0" fontId="2" fillId="6"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5" fillId="5" borderId="2" xfId="0" applyNumberFormat="1" applyFont="1" applyFill="1" applyBorder="1" applyAlignment="1">
      <x:alignment wrapText="1"/>
    </x:xf>
    <x:xf numFmtId="176" fontId="2" fillId="0" borderId="2" xfId="0" applyNumberFormat="1" applyFont="1" applyFill="1" applyBorder="1" applyAlignment="1">
      <x:alignment horizontal="right" vertical="center" wrapText="1"/>
    </x:xf>
    <x:xf numFmtId="0" fontId="11" fillId="8" borderId="3" xfId="0" applyNumberFormat="1" applyFont="1" applyFill="1" applyBorder="1" applyAlignment="1">
      <x:alignment vertical="top" wrapText="1"/>
    </x:xf>
    <x:xf numFmtId="176" fontId="2" fillId="0" borderId="2" xfId="0" applyNumberFormat="1" applyFont="1" applyFill="1" applyBorder="1" applyAlignment="1">
      <x:alignment horizontal="right" vertical="top" wrapText="1"/>
    </x:xf>
    <x:xf numFmtId="0" fontId="4" fillId="3"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7" fillId="4" borderId="0" xfId="0" applyNumberFormat="1" applyFont="1" applyFill="1" applyBorder="1" applyAlignment="1">
      <x:alignment wrapText="1"/>
    </x:xf>
    <x:xf numFmtId="0" fontId="15"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6"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3" borderId="2" xfId="0" applyNumberFormat="1" applyFont="1" applyFill="1" applyBorder="1" applyAlignment="1">
      <x:alignment vertical="center" wrapText="1"/>
    </x:xf>
    <x:xf numFmtId="0" fontId="8" fillId="0" borderId="2"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176" fontId="2" fillId="0" borderId="0" xfId="0" applyNumberFormat="1" applyFont="1" applyFill="1" applyBorder="1" applyAlignment="1">
      <x:alignment vertical="top" wrapText="1"/>
    </x:xf>
    <x:xf numFmtId="0" fontId="22" fillId="0" borderId="0" xfId="0" applyNumberFormat="1" applyFont="1" applyFill="1" applyBorder="1" applyAlignment="1">
      <x:alignment vertical="top" wrapText="1"/>
    </x:xf>
    <x:xf numFmtId="0" fontId="6"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3" fillId="2"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20" fillId="0" borderId="0" xfId="0" applyNumberFormat="1" applyFont="1" applyFill="1" applyBorder="1" applyAlignment="1">
      <x:alignment vertical="top" wrapText="1"/>
    </x:xf>
    <x:xf numFmtId="0" fontId="5" fillId="5" borderId="0" xfId="0" applyNumberFormat="1" applyFont="1" applyFill="1" applyBorder="1" applyAlignment="1">
      <x:alignment wrapText="1"/>
    </x:xf>
    <x:xf numFmtId="0" fontId="6" fillId="4" borderId="2" xfId="0" applyNumberFormat="1" applyFont="1" applyFill="1" applyBorder="1" applyAlignment="1">
      <x:alignment wrapText="1"/>
    </x:xf>
    <x:xf numFmtId="0" fontId="0" fillId="0" borderId="2" xfId="0" applyNumberFormat="1" applyFont="1" applyFill="1" applyBorder="1" applyAlignment="1">
      <x:alignment wrapText="1"/>
    </x:xf>
    <x:xf numFmtId="0" fontId="23" fillId="2" borderId="2" xfId="0" applyNumberFormat="1" applyFont="1" applyFill="1" applyBorder="1" applyAlignment="1">
      <x:alignment wrapText="1"/>
    </x:xf>
    <x:xf numFmtId="0" fontId="3"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176" fontId="2" fillId="0" borderId="0" xfId="0" applyNumberFormat="1" applyFont="1" applyFill="1" applyBorder="1" applyAlignment="1">
      <x:alignment horizontal="right" vertical="center" wrapText="1"/>
    </x:xf>
    <x:xf numFmtId="0" fontId="11" fillId="8" borderId="1" xfId="0" applyNumberFormat="1" applyFont="1" applyFill="1" applyBorder="1" applyAlignment="1">
      <x:alignment vertical="top" wrapText="1"/>
    </x:xf>
    <x:xf numFmtId="176" fontId="2" fillId="0" borderId="0" xfId="0" applyNumberFormat="1" applyFont="1" applyFill="1" applyBorder="1" applyAlignment="1">
      <x:alignment horizontal="right" vertical="top" wrapText="1"/>
    </x:xf>
  </x:cellXfs>
  <x:cellStyles count="3">
    <x:cellStyle name="Normal" xfId="1"/>
    <x:cellStyle name="常规" xfId="0"/>
    <x:cellStyle name="超链接" xfId="2"/>
  </x:cellStyles>
  <x:dxfs count="94">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0563C1"/>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numFmt numFmtId="176" formatCode="yyyy\-mm\-dd"/>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2"/>
        <x:scheme val="none"/>
      </x:font>
      <x:fill>
        <x:patternFill patternType="solid">
          <x:bgColor indexed="65"/>
        </x:patternFill>
      </x:fill>
    </x:dxf>
    <x:dxf>
      <x:font>
        <x:u val="none"/>
        <x:sz val="11"/>
        <x:color rgb="FF173042"/>
        <x:name val="Noto Sans CJK SC"/>
        <x:family val="1"/>
        <x:scheme val="none"/>
      </x:font>
    </x:dxf>
    <x:dxf>
      <x:font>
        <x:u val="none"/>
        <x:sz val="11"/>
        <x:color rgb="FF173042"/>
        <x:name val="Noto Sans CJK SC"/>
        <x:family val="1"/>
        <x:scheme val="none"/>
      </x:font>
    </x:dxf>
    <x:dxf>
      <x:font>
        <x:u val="none"/>
        <x:sz val="11"/>
        <x:color rgb="FF173042"/>
        <x:name val="Noto Sans CJK SC"/>
        <x:family val="1"/>
        <x:scheme val="none"/>
      </x:font>
    </x:dxf>
    <x:dxf>
      <x:font>
        <x:u val="none"/>
        <x:sz val="11"/>
        <x:color rgb="FF173042"/>
        <x:name val="Noto Sans CJK SC"/>
        <x:family val="1"/>
        <x:scheme val="none"/>
      </x:font>
    </x:dxf>
    <x:dxf>
      <x:font>
        <x:u val="none"/>
        <x:sz val="11"/>
        <x:color rgb="FF173042"/>
        <x:name val="Noto Sans CJK SC"/>
        <x:family val="1"/>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0563C1"/>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dxf>
    <x:dxf>
      <x:font>
        <x:u val="none"/>
        <x:sz val="11"/>
        <x:color rgb="FF173042"/>
        <x:name val="Noto Sans CJK SC"/>
        <x:family val="2"/>
        <x:scheme val="none"/>
      </x:font>
      <x:numFmt numFmtId="176" formatCode="yyyy\-mm\-dd"/>
    </x:dxf>
    <x:dxf>
      <x:font>
        <x:u val="none"/>
        <x:sz val="11"/>
        <x:color rgb="FF173042"/>
        <x:name val="Noto Sans CJK SC"/>
        <x:family val="2"/>
        <x:scheme val="none"/>
      </x:font>
    </x:dxf>
    <x:dxf>
      <x:font>
        <x:u val="none"/>
        <x:sz val="11"/>
        <x:color rgb="FF173042"/>
        <x:name val="Noto Sans CJK SC"/>
        <x:family val="2"/>
        <x:scheme val="none"/>
      </x:font>
    </x:dxf>
    <x:dxf>
      <x:font>
        <x:b/>
        <x:u val="none"/>
        <x:sz val="11"/>
        <x:color rgb="FFFFFFFF"/>
        <x:name val="Noto Sans CJK SC"/>
        <x:family val="2"/>
        <x:scheme val="none"/>
      </x:font>
      <x:fill>
        <x:patternFill>
          <x:bgColor indexed="64"/>
        </x:patternFill>
      </x:fill>
    </x:dxf>
    <x:dxf>
      <x:fill>
        <x:patternFill>
          <x:bgColor theme="4" tint="0.79995"/>
        </x:patternFill>
      </x:fill>
      <x:border>
        <x:bottom style="thin">
          <x:color theme="4" tint="0.39995"/>
        </x:bottom>
      </x:border>
    </x:dxf>
    <x:dxf>
      <x:font>
        <x:b/>
      </x:font>
      <x:fill>
        <x:patternFill>
          <x:bgColor theme="4" tint="0.79995"/>
        </x:patternFill>
      </x:fill>
      <x:border>
        <x:bottom style="thin">
          <x:color theme="4" tint="0.39995"/>
        </x:bottom>
      </x:border>
    </x:dxf>
    <x:dxf>
      <x:font>
        <x:color theme="1"/>
      </x:font>
    </x:dxf>
    <x:dxf>
      <x:font>
        <x:color theme="1"/>
      </x:font>
      <x:border>
        <x:bottom style="thin">
          <x:color theme="4" tint="0.39995"/>
        </x:bottom>
      </x:border>
    </x:dxf>
    <x:dxf>
      <x:font>
        <x:b/>
        <x:color theme="1"/>
      </x:font>
    </x:dxf>
    <x:dxf>
      <x:font>
        <x:b/>
        <x:color theme="1"/>
      </x:font>
      <x:border>
        <x:top style="thin">
          <x:color theme="4"/>
        </x:top>
        <x:bottom style="thin">
          <x:color theme="4"/>
        </x:bottom>
      </x:border>
    </x:dxf>
    <x:dxf>
      <x:fill>
        <x:patternFill>
          <x:bgColor theme="4" tint="0.79995"/>
        </x:patternFill>
      </x:fill>
    </x:dxf>
    <x:dxf>
      <x:fill>
        <x:patternFill>
          <x:bgColor theme="4" tint="0.79995"/>
        </x:patternFill>
      </x:fill>
    </x:dxf>
    <x:dxf>
      <x:font>
        <x:b/>
        <x:color theme="1"/>
      </x:font>
      <x:fill>
        <x:patternFill>
          <x:bgColor theme="4" tint="0.79995"/>
        </x:patternFill>
      </x:fill>
      <x:border>
        <x:top style="thin">
          <x:color theme="4" tint="0.39995"/>
        </x:top>
        <x:bottom style="thin">
          <x:color theme="4" tint="0.39995"/>
        </x:bottom>
      </x:border>
    </x:dxf>
    <x:dxf>
      <x:font>
        <x:b/>
        <x:color theme="1"/>
      </x:font>
      <x:fill>
        <x:patternFill>
          <x:bgColor theme="4" tint="0.79995"/>
        </x:patternFill>
      </x:fill>
      <x:border>
        <x:bottom style="thin">
          <x:color theme="4" tint="0.39995"/>
        </x:bottom>
      </x:border>
    </x:dxf>
    <x:dxf>
      <x:fill>
        <x:patternFill>
          <x:bgColor theme="4" tint="0.79995"/>
        </x:patternFill>
      </x:fill>
    </x:dxf>
    <x:dxf>
      <x:fill>
        <x:patternFill>
          <x:bgColor theme="4" tint="0.79995"/>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86e24649901494b" /><Relationship Type="http://schemas.openxmlformats.org/officeDocument/2006/relationships/theme" Target="/xl/theme/theme1.xml" Id="R3df7fa65560e491e" /><Relationship Type="http://schemas.openxmlformats.org/officeDocument/2006/relationships/sharedStrings" Target="/xl/sharedStrings.xml" Id="R5eaa9249d0fc4095" /><Relationship Type="http://schemas.openxmlformats.org/officeDocument/2006/relationships/worksheet" Target="/xl/worksheets/sheet1.xml" Id="Rf3851632ab974744" /><Relationship Type="http://schemas.openxmlformats.org/officeDocument/2006/relationships/worksheet" Target="/xl/worksheets/sheet2.xml" Id="Rfec00f1824c649c6" /><Relationship Type="http://schemas.openxmlformats.org/officeDocument/2006/relationships/worksheet" Target="/xl/worksheets/sheet3.xml" Id="R317aabaf7ae64f35" /><Relationship Type="http://schemas.openxmlformats.org/officeDocument/2006/relationships/worksheet" Target="/xl/worksheets/sheet4.xml" Id="R25a2477b8a694d54" /><Relationship Type="http://schemas.openxmlformats.org/officeDocument/2006/relationships/worksheet" Target="/xl/worksheets/sheet5.xml" Id="R41ab2516d53d4ce9" /><Relationship Type="http://schemas.openxmlformats.org/officeDocument/2006/relationships/worksheet" Target="/xl/worksheets/sheet6.xml" Id="Ref39ad97d82e482c" /><Relationship Type="http://schemas.openxmlformats.org/officeDocument/2006/relationships/worksheet" Target="/xl/worksheets/sheet7.xml" Id="R9ce70b6a9eca4d7e" /><Relationship Type="http://schemas.openxmlformats.org/officeDocument/2006/relationships/worksheet" Target="/xl/worksheets/sheet8.xml" Id="R3e71ba929bee4af7" /><Relationship Type="http://schemas.openxmlformats.org/officeDocument/2006/relationships/worksheet" Target="/xl/worksheets/sheet9.xml" Id="R6057d0c53a104f94" /><Relationship Type="http://schemas.openxmlformats.org/officeDocument/2006/relationships/worksheet" Target="/xl/worksheets/sheet10.xml" Id="R905d0d757529431f" /><Relationship Type="http://schemas.openxmlformats.org/officeDocument/2006/relationships/worksheet" Target="/xl/worksheets/sheet11.xml" Id="Rdd8eb9720f874931" /><Relationship Type="http://schemas.openxmlformats.org/officeDocument/2006/relationships/worksheet" Target="/xl/worksheets/sheet12.xml" Id="Rf1e0c4771fb94665" /><Relationship Type="http://schemas.openxmlformats.org/officeDocument/2006/relationships/worksheet" Target="/xl/worksheets/sheet13.xml" Id="R800c3793f1294cd6" /><Relationship Type="http://schemas.openxmlformats.org/officeDocument/2006/relationships/worksheet" Target="/xl/worksheets/sheet14.xml" Id="R035a3502c6554a0f" /></Relationships>
</file>

<file path=xl/tables/table1.xml><?xml version="1.0" encoding="utf-8"?>
<x:table xmlns:x="http://schemas.openxmlformats.org/spreadsheetml/2006/main" id="1" name="ValidOpinionRecords" displayName="ValidOpinionRecords" ref="A1:Y6">
  <x:tableColumns count="25">
    <x:tableColumn id="1" name="列1"/>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15">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26">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17">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Y34">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7.xml><?xml version="1.0" encoding="utf-8"?>
<x:table xmlns:x="http://schemas.openxmlformats.org/spreadsheetml/2006/main" id="7" name="IssueTags" displayName="IssueTags" ref="A1:B40">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7">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a8b1fcb6be47ae" /></Relationships>
</file>

<file path=xl/worksheets/_rels/sheet4.xml.rels>&#65279;<?xml version="1.0" encoding="utf-8"?><Relationships xmlns="http://schemas.openxmlformats.org/package/2006/relationships"><Relationship Type="http://schemas.openxmlformats.org/officeDocument/2006/relationships/table" Target="/xl/tables/table2.xml" Id="Re045480eb2f84720" /></Relationships>
</file>

<file path=xl/worksheets/_rels/sheet5.xml.rels>&#65279;<?xml version="1.0" encoding="utf-8"?><Relationships xmlns="http://schemas.openxmlformats.org/package/2006/relationships"><Relationship Type="http://schemas.openxmlformats.org/officeDocument/2006/relationships/table" Target="/xl/tables/table3.xml" Id="R70f835897aaa4aa4" /></Relationships>
</file>

<file path=xl/worksheets/_rels/sheet6.xml.rels>&#65279;<?xml version="1.0" encoding="utf-8"?><Relationships xmlns="http://schemas.openxmlformats.org/package/2006/relationships"><Relationship Type="http://schemas.openxmlformats.org/officeDocument/2006/relationships/table" Target="/xl/tables/table4.xml" Id="Ra58b62c8564c40a8" /></Relationships>
</file>

<file path=xl/worksheets/_rels/sheet7.xml.rels>&#65279;<?xml version="1.0" encoding="utf-8"?><Relationships xmlns="http://schemas.openxmlformats.org/package/2006/relationships"><Relationship Type="http://schemas.openxmlformats.org/officeDocument/2006/relationships/table" Target="/xl/tables/table5.xml" Id="Re5987aeccc664401" /></Relationships>
</file>

<file path=xl/worksheets/_rels/sheet8.xml.rels>&#65279;<?xml version="1.0" encoding="utf-8"?><Relationships xmlns="http://schemas.openxmlformats.org/package/2006/relationships"><Relationship Type="http://schemas.openxmlformats.org/officeDocument/2006/relationships/table" Target="/xl/tables/table6.xml" Id="R972e012df36443e1" /></Relationships>
</file>

<file path=xl/worksheets/_rels/sheet9.xml.rels>&#65279;<?xml version="1.0" encoding="utf-8"?><Relationships xmlns="http://schemas.openxmlformats.org/package/2006/relationships"><Relationship Type="http://schemas.openxmlformats.org/officeDocument/2006/relationships/table" Target="/xl/tables/table7.xml" Id="Rf34da1e7f8864aec" /></Relationships>
</file>

<file path=xl/worksheets/_rels/sheet10.xml.rels>&#65279;<?xml version="1.0" encoding="utf-8"?><Relationships xmlns="http://schemas.openxmlformats.org/package/2006/relationships"><Relationship Type="http://schemas.openxmlformats.org/officeDocument/2006/relationships/table" Target="/xl/tables/table8.xml" Id="Re7e2c94f00fe4cd7" /></Relationships>
</file>

<file path=xl/worksheets/sheet1.xml><?xml version="1.0" encoding="utf-8"?>
<x:worksheet xmlns:x="http://schemas.openxmlformats.org/spreadsheetml/2006/main">
  <x:sheetFormatPr defaultColWidth="9" defaultRowHeight="13.5"/>
  <x:cols>
    <x:col min="1" max="1" width="25" customWidth="1"/>
    <x:col min="2" max="8" width="18" customWidth="1"/>
  </x:cols>
  <x:sheetData>
    <x:row r="1" ht="30" customHeight="1">
      <x:c r="A1" s="67" t="s">
        <x:v>0</x:v>
      </x:c>
      <x:c r="B1" s="67"/>
      <x:c r="C1" s="28"/>
      <x:c r="D1" s="28"/>
      <x:c r="E1" s="28"/>
      <x:c r="F1" s="28"/>
      <x:c r="G1" s="28"/>
      <x:c r="H1" s="28"/>
    </x:row>
    <x:row r="2" ht="14.25">
      <x:c r="A2" s="68"/>
      <x:c r="B2" s="68"/>
      <x:c r="C2" s="5"/>
      <x:c r="D2" s="5"/>
      <x:c r="E2" s="5"/>
      <x:c r="F2" s="5"/>
      <x:c r="G2" s="5"/>
      <x:c r="H2" s="5"/>
    </x:row>
    <x:row r="3" ht="42.400001525878906">
      <x:c r="A3" s="69" t="s">
        <x:v>1</x:v>
      </x:c>
      <x:c r="B3" s="68" t="str">
        <x:v>2026-07-01 00:00—2026-08-05 23:59（北京时间）</x:v>
      </x:c>
      <x:c r="C3" s="5"/>
      <x:c r="D3" s="5"/>
      <x:c r="E3" s="5"/>
      <x:c r="F3" s="5"/>
      <x:c r="G3" s="5"/>
      <x:c r="H3" s="5"/>
    </x:row>
    <x:row r="4" ht="27.75">
      <x:c r="A4" s="69" t="str">
        <x:v>最终复核完成</x:v>
      </x:c>
      <x:c r="B4" s="68" t="str">
        <x:v>2026-08-07（对固定历史窗口进行补充核验，不扩大监测截止时间）</x:v>
      </x:c>
      <x:c r="C4" s="5"/>
      <x:c r="D4" s="5"/>
      <x:c r="E4" s="5"/>
      <x:c r="F4" s="5"/>
      <x:c r="G4" s="5"/>
      <x:c r="H4" s="5"/>
    </x:row>
    <x:row r="5" ht="14.25">
      <x:c r="A5" s="69" t="s">
        <x:v>2</x:v>
      </x:c>
      <x:c r="B5" s="70" t="n">
        <x:v>5</x:v>
      </x:c>
      <x:c r="C5" s="5"/>
      <x:c r="D5" s="5"/>
      <x:c r="E5" s="5"/>
      <x:c r="F5" s="5"/>
      <x:c r="G5" s="5"/>
      <x:c r="H5" s="5"/>
    </x:row>
    <x:row r="6" ht="14.25">
      <x:c r="A6" s="69" t="s">
        <x:v>3</x:v>
      </x:c>
      <x:c r="B6" s="70" t="n">
        <x:f>'公众意见汇总'!B4</x:f>
        <x:v>3</x:v>
      </x:c>
      <x:c r="C6" s="5"/>
      <x:c r="D6" s="5"/>
      <x:c r="E6" s="5"/>
      <x:c r="F6" s="5"/>
      <x:c r="G6" s="5"/>
      <x:c r="H6" s="5"/>
    </x:row>
    <x:row r="7" ht="14.25">
      <x:c r="A7" s="69" t="s">
        <x:v>4</x:v>
      </x:c>
      <x:c r="B7" s="70" t="n">
        <x:f>COUNTA('官方实施信息'!A2:A15)</x:f>
        <x:v>14</x:v>
      </x:c>
      <x:c r="C7" s="5"/>
      <x:c r="D7" s="5"/>
      <x:c r="E7" s="5"/>
      <x:c r="F7" s="5"/>
      <x:c r="G7" s="5"/>
      <x:c r="H7" s="5"/>
    </x:row>
    <x:row r="8" ht="14.25">
      <x:c r="A8" s="69" t="s">
        <x:v>5</x:v>
      </x:c>
      <x:c r="B8" s="70" t="n">
        <x:v>0</x:v>
      </x:c>
      <x:c r="C8" s="5"/>
      <x:c r="D8" s="5"/>
      <x:c r="E8" s="5"/>
      <x:c r="F8" s="5"/>
      <x:c r="G8" s="5"/>
      <x:c r="H8" s="5"/>
    </x:row>
    <x:row r="9" ht="14.25">
      <x:c r="A9" s="69" t="s">
        <x:v>6</x:v>
      </x:c>
      <x:c r="B9" s="70">
        <x:v>0</x:v>
      </x:c>
      <x:c r="C9" s="5"/>
      <x:c r="D9" s="5"/>
      <x:c r="E9" s="5"/>
      <x:c r="F9" s="5"/>
      <x:c r="G9" s="5"/>
      <x:c r="H9" s="5"/>
    </x:row>
    <x:row r="10" ht="14.25">
      <x:c r="A10" s="69" t="s">
        <x:v>7</x:v>
      </x:c>
      <x:c r="B10" s="70">
        <x:v>0</x:v>
      </x:c>
      <x:c r="C10" s="5"/>
      <x:c r="D10" s="5"/>
      <x:c r="E10" s="5"/>
      <x:c r="F10" s="5"/>
      <x:c r="G10" s="5"/>
      <x:c r="H10" s="5"/>
    </x:row>
    <x:row r="11" ht="14.25">
      <x:c r="A11" s="71" t="s">
        <x:v>8</x:v>
      </x:c>
      <x:c r="B11" s="68"/>
      <x:c r="C11" s="5"/>
      <x:c r="D11" s="5"/>
      <x:c r="E11" s="5"/>
      <x:c r="F11" s="5"/>
      <x:c r="G11" s="5"/>
      <x:c r="H11" s="5"/>
    </x:row>
    <x:row r="12" ht="13.899999618530273">
      <x:c r="A12" s="72" t="s">
        <x:v>9</x:v>
      </x:c>
      <x:c r="B12" s="72"/>
      <x:c r="C12" s="29"/>
      <x:c r="D12" s="29"/>
      <x:c r="E12" s="29"/>
      <x:c r="F12" s="29"/>
      <x:c r="G12" s="29"/>
      <x:c r="H12" s="29"/>
    </x:row>
    <x:row r="13">
      <x:c r="A13" s="73" t="str">
        <x:v>1）固定监测窗口内共保留5条全国性平台直接相关线索：知乎2条、B站3条。另整理官方实施信息14条。
2）按严格公众意见证据口径，知乎2条虽与本法直接相关，但现有工作簿未保存作者性质或公众评论原话，因此不计入公众意见；B站3条以UP主视频标题/主题作为公开原始表达计入公众意见。
3）最终公众意见3条：支持认可1条，中性信息2条；未检出可确认的咨询、担忧、明确批评、投诉维权、实施问题或公平争议。未检出不等于现实中不存在。
4）原始候选记录33条中，大量知乎/百度知道记录因发布日期早于2026年7月1日被排除；官方普法号内容不作为公众意见。最终样本很小，且3条公众意见均来自全国性B站平台，不能用于推断新疆地区公众总体态度。
5）5条有效相关线索的原始语言均为普通话；未核验到满足时间、关联和原始链接要求的少数民族语言公众意见。</x:v>
      </x:c>
      <x:c r="B13" s="73"/>
      <x:c r="C13" s="30"/>
      <x:c r="D13" s="30"/>
      <x:c r="E13" s="30"/>
      <x:c r="F13" s="30"/>
      <x:c r="G13" s="30"/>
      <x:c r="H13" s="30"/>
    </x:row>
    <x:row r="14">
      <x:c r="A14" s="73"/>
      <x:c r="B14" s="73"/>
      <x:c r="C14" s="30"/>
      <x:c r="D14" s="30"/>
      <x:c r="E14" s="30"/>
      <x:c r="F14" s="30"/>
      <x:c r="G14" s="30"/>
      <x:c r="H14" s="30"/>
    </x:row>
    <x:row r="15">
      <x:c r="A15" s="73"/>
      <x:c r="B15" s="73"/>
      <x:c r="C15" s="30"/>
      <x:c r="D15" s="30"/>
      <x:c r="E15" s="30"/>
      <x:c r="F15" s="30"/>
      <x:c r="G15" s="30"/>
      <x:c r="H15" s="30"/>
    </x:row>
    <x:row r="16">
      <x:c r="A16" s="73"/>
      <x:c r="B16" s="73"/>
      <x:c r="C16" s="30"/>
      <x:c r="D16" s="30"/>
      <x:c r="E16" s="30"/>
      <x:c r="F16" s="30"/>
      <x:c r="G16" s="30"/>
      <x:c r="H16" s="30"/>
    </x:row>
    <x:row r="17">
      <x:c r="A17" s="73"/>
      <x:c r="B17" s="73"/>
      <x:c r="C17" s="30"/>
      <x:c r="D17" s="30"/>
      <x:c r="E17" s="30"/>
      <x:c r="F17" s="30"/>
      <x:c r="G17" s="30"/>
      <x:c r="H17" s="30"/>
    </x:row>
    <x:row r="18">
      <x:c r="A18" s="73"/>
      <x:c r="B18" s="73"/>
      <x:c r="C18" s="30"/>
      <x:c r="D18" s="30"/>
      <x:c r="E18" s="30"/>
      <x:c r="F18" s="30"/>
      <x:c r="G18" s="30"/>
      <x:c r="H18" s="30"/>
    </x:row>
    <x:row r="19" ht="14.25">
      <x:c r="A19" s="68"/>
      <x:c r="B19" s="68"/>
      <x:c r="C19" s="5"/>
      <x:c r="D19" s="5"/>
      <x:c r="E19" s="5"/>
      <x:c r="F19" s="5"/>
      <x:c r="G19" s="5"/>
      <x:c r="H19" s="5"/>
    </x:row>
    <x:row r="20" ht="13.899999618530273">
      <x:c r="A20" s="72" t="s">
        <x:v>10</x:v>
      </x:c>
      <x:c r="B20" s="72"/>
      <x:c r="C20" s="29"/>
      <x:c r="D20" s="29"/>
      <x:c r="E20" s="29"/>
      <x:c r="F20" s="29"/>
      <x:c r="G20" s="29"/>
      <x:c r="H20" s="29"/>
    </x:row>
    <x:row r="21">
      <x:c r="A21" s="74" t="str">
        <x:v>本报告为一次性历史回溯，统计窗口固定为2026年7月1日00:00至8月5日23:59（北京时间）。8月7日仅用于复核和修正既有记录，不纳入8月6日以后新增内容。互动量无法核实时留空；未保存原始公众表达的记录不进入公众意见统计。</x:v>
      </x:c>
      <x:c r="B21" s="74"/>
      <x:c r="C21" s="32"/>
      <x:c r="D21" s="32"/>
      <x:c r="E21" s="32"/>
      <x:c r="F21" s="32"/>
      <x:c r="G21" s="32"/>
      <x:c r="H21" s="32"/>
    </x:row>
    <x:row r="22">
      <x:c r="A22" s="32"/>
      <x:c r="B22" s="32"/>
      <x:c r="C22" s="32"/>
      <x:c r="D22" s="32"/>
      <x:c r="E22" s="32"/>
      <x:c r="F22" s="32"/>
      <x:c r="G22" s="32"/>
      <x:c r="H22" s="32"/>
    </x:row>
    <x:row r="23">
      <x:c r="A23" s="32"/>
      <x:c r="B23" s="32"/>
      <x:c r="C23" s="32"/>
      <x:c r="D23" s="32"/>
      <x:c r="E23" s="32"/>
      <x:c r="F23" s="32"/>
      <x:c r="G23" s="32"/>
      <x:c r="H23" s="32"/>
    </x:row>
    <x:row r="24">
      <x:c r="A24" s="32"/>
      <x:c r="B24" s="32"/>
      <x:c r="C24" s="32"/>
      <x:c r="D24" s="32"/>
      <x:c r="E24" s="32"/>
      <x:c r="F24" s="32"/>
      <x:c r="G24" s="32"/>
      <x:c r="H24" s="32"/>
    </x:row>
  </x:sheetData>
  <x:mergeCells>
    <x:mergeCell ref="A1:H1"/>
    <x:mergeCell ref="A12:H12"/>
    <x:mergeCell ref="A20:H20"/>
    <x:mergeCell ref="A13:H18"/>
    <x:mergeCell ref="A21:H24"/>
  </x:mergeCells>
  <x:pageMargins left="0.7" right="0.7" top="0.75" bottom="0.75" header="0.3" footer="0.3"/>
</x:worksheet>
</file>

<file path=xl/worksheets/sheet2.xml><?xml version="1.0" encoding="utf-8"?>
<x:worksheet xmlns:x="http://schemas.openxmlformats.org/spreadsheetml/2006/main">
  <x:sheetFormatPr defaultColWidth="9" defaultRowHeight="13.5"/>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450000762939453" customHeight="1">
      <x:c r="A1" s="78" t="s">
        <x:v>11</x:v>
      </x:c>
      <x:c r="B1" s="78" t="s">
        <x:v>12</x:v>
      </x:c>
      <x:c r="C1" s="78" t="s">
        <x:v>13</x:v>
      </x:c>
      <x:c r="D1" s="78" t="s">
        <x:v>14</x:v>
      </x:c>
      <x:c r="E1" s="78" t="s">
        <x:v>15</x:v>
      </x:c>
      <x:c r="F1" s="78" t="s">
        <x:v>16</x:v>
      </x:c>
      <x:c r="G1" s="78" t="s">
        <x:v>17</x:v>
      </x:c>
      <x:c r="H1" s="78" t="s">
        <x:v>18</x:v>
      </x:c>
      <x:c r="I1" s="78" t="s">
        <x:v>19</x:v>
      </x:c>
      <x:c r="J1" s="78" t="s">
        <x:v>20</x:v>
      </x:c>
      <x:c r="K1" s="78" t="s">
        <x:v>21</x:v>
      </x:c>
      <x:c r="L1" s="78" t="s">
        <x:v>22</x:v>
      </x:c>
      <x:c r="M1" s="78" t="s">
        <x:v>23</x:v>
      </x:c>
      <x:c r="N1" s="78" t="s">
        <x:v>24</x:v>
      </x:c>
      <x:c r="O1" s="78" t="s">
        <x:v>25</x:v>
      </x:c>
      <x:c r="P1" s="78" t="s">
        <x:v>26</x:v>
      </x:c>
      <x:c r="Q1" s="78" t="s">
        <x:v>27</x:v>
      </x:c>
      <x:c r="R1" s="78" t="s">
        <x:v>28</x:v>
      </x:c>
      <x:c r="S1" s="78" t="s">
        <x:v>29</x:v>
      </x:c>
      <x:c r="T1" s="78" t="s">
        <x:v>30</x:v>
      </x:c>
      <x:c r="U1" s="78" t="s">
        <x:v>31</x:v>
      </x:c>
      <x:c r="V1" s="78" t="s">
        <x:v>32</x:v>
      </x:c>
      <x:c r="W1" s="78" t="s">
        <x:v>33</x:v>
      </x:c>
      <x:c r="X1" s="78" t="s">
        <x:v>34</x:v>
      </x:c>
      <x:c r="Y1" s="78" t="s">
        <x:v>35</x:v>
      </x:c>
    </x:row>
    <x:row r="2" ht="41.650001525878906">
      <x:c r="A2" s="79">
        <x:v>2</x:v>
      </x:c>
      <x:c r="B2" s="80">
        <x:v>46218</x:v>
      </x:c>
      <x:c r="C2" s="79" t="s">
        <x:v>36</x:v>
      </x:c>
      <x:c r="D2" s="79" t="s">
        <x:v>37</x:v>
      </x:c>
      <x:c r="E2" s="79" t="s">
        <x:v>38</x:v>
      </x:c>
      <x:c r="F2" s="79" t="str">
        <x:v>媒体评论/平台转载</x:v>
      </x:c>
      <x:c r="G2" s="79" t="s">
        <x:v>39</x:v>
      </x:c>
      <x:c r="H2" s="79" t="s">
        <x:v>39</x:v>
      </x:c>
      <x:c r="I2" s="79" t="s">
        <x:v>40</x:v>
      </x:c>
      <x:c r="J2" s="79" t="s">
        <x:v>41</x:v>
      </x:c>
      <x:c r="K2" s="79" t="s">
        <x:v>42</x:v>
      </x:c>
      <x:c r="L2" s="79" t="str">
        <x:v>文章标题明确涉及《民族团结进步促进法》的实施，但现有工作簿未保存知乎用户评论原话。</x:v>
      </x:c>
      <x:c r="M2" s="79" t="str">
        <x:v>与本法实施直接相关；但标题显示为《中国妇女》评论，现有证据不足以把它作为网民原创公众意见。</x:v>
      </x:c>
      <x:c r="N2" s="81" t="s">
        <x:v>43</x:v>
      </x:c>
      <x:c r="O2" s="79" t="s">
        <x:v>44</x:v>
      </x:c>
      <x:c r="P2" s="79" t="str">
        <x:v>中性信息</x:v>
      </x:c>
      <x:c r="Q2" s="79" t="s">
        <x:v>45</x:v>
      </x:c>
      <x:c r="R2" s="79" t="s">
        <x:v>46</x:v>
      </x:c>
      <x:c r="S2" s="79" t="s">
        <x:v>46</x:v>
      </x:c>
      <x:c r="T2" s="79" t="s">
        <x:v>46</x:v>
      </x:c>
      <x:c r="U2" s="79" t="s">
        <x:v>47</x:v>
      </x:c>
      <x:c r="V2" s="79" t="s">
        <x:v>47</x:v>
      </x:c>
      <x:c r="W2" s="79" t="str">
        <x:v>最终复核：保留为本法相关媒体评论线索；因未保存公众原话，且来源性质偏媒体评论，不计入公众意见统计。</x:v>
      </x:c>
      <x:c r="X2" s="79" t="s">
        <x:v>41</x:v>
      </x:c>
      <x:c r="Y2" s="79" t="str">
        <x:v>否</x:v>
      </x:c>
    </x:row>
    <x:row r="3" ht="41.650001525878906">
      <x:c r="A3" s="79">
        <x:v>4</x:v>
      </x:c>
      <x:c r="B3" s="80">
        <x:v>46218</x:v>
      </x:c>
      <x:c r="C3" s="79" t="s">
        <x:v>36</x:v>
      </x:c>
      <x:c r="D3" s="79" t="s">
        <x:v>37</x:v>
      </x:c>
      <x:c r="E3" s="79" t="s">
        <x:v>38</x:v>
      </x:c>
      <x:c r="F3" s="79" t="str">
        <x:v>自媒体/专栏（作者性质未记录）</x:v>
      </x:c>
      <x:c r="G3" s="79" t="s">
        <x:v>39</x:v>
      </x:c>
      <x:c r="H3" s="79" t="s">
        <x:v>39</x:v>
      </x:c>
      <x:c r="I3" s="79" t="s">
        <x:v>40</x:v>
      </x:c>
      <x:c r="J3" s="79" t="s">
        <x:v>41</x:v>
      </x:c>
      <x:c r="K3" s="79" t="s">
        <x:v>48</x:v>
      </x:c>
      <x:c r="L3" s="79" t="str">
        <x:v>文章标题为“一部中国法律落地！美欧反应激烈，境外黑手知道大事不妙了？”，但现有工作簿未保存作者身份或评论区公众原话。</x:v>
      </x:c>
      <x:c r="M3" s="79" t="str">
        <x:v>与本法实施及国际舆论直接相关；现有证据能证明话题相关，但不足以稳定确认其为可计数的个人原创公众意见。</x:v>
      </x:c>
      <x:c r="N3" s="81" t="s">
        <x:v>49</x:v>
      </x:c>
      <x:c r="O3" s="79" t="s">
        <x:v>44</x:v>
      </x:c>
      <x:c r="P3" s="79" t="str">
        <x:v>中性信息</x:v>
      </x:c>
      <x:c r="Q3" s="79" t="s">
        <x:v>45</x:v>
      </x:c>
      <x:c r="R3" s="79" t="s">
        <x:v>46</x:v>
      </x:c>
      <x:c r="S3" s="79" t="s">
        <x:v>46</x:v>
      </x:c>
      <x:c r="T3" s="79" t="s">
        <x:v>46</x:v>
      </x:c>
      <x:c r="U3" s="79" t="s">
        <x:v>47</x:v>
      </x:c>
      <x:c r="V3" s="79" t="s">
        <x:v>47</x:v>
      </x:c>
      <x:c r="W3" s="79" t="str">
        <x:v>最终复核：按严格证据口径暂不计入公众意见；保留为本法相关自媒体/专栏线索，不再要求学生补查。</x:v>
      </x:c>
      <x:c r="X3" s="79" t="s">
        <x:v>41</x:v>
      </x:c>
      <x:c r="Y3" s="79" t="str">
        <x:v>否</x:v>
      </x:c>
    </x:row>
    <x:row r="4" ht="41.650001525878906">
      <x:c r="A4" s="79">
        <x:v>6</x:v>
      </x:c>
      <x:c r="B4" s="80">
        <x:v>46213</x:v>
      </x:c>
      <x:c r="C4" s="79" t="s">
        <x:v>36</x:v>
      </x:c>
      <x:c r="D4" s="79" t="s">
        <x:v>50</x:v>
      </x:c>
      <x:c r="E4" s="79" t="s">
        <x:v>51</x:v>
      </x:c>
      <x:c r="F4" s="79" t="s">
        <x:v>52</x:v>
      </x:c>
      <x:c r="G4" s="79" t="s">
        <x:v>39</x:v>
      </x:c>
      <x:c r="H4" s="79" t="s">
        <x:v>39</x:v>
      </x:c>
      <x:c r="I4" s="79" t="s">
        <x:v>40</x:v>
      </x:c>
      <x:c r="J4" s="79" t="s">
        <x:v>41</x:v>
      </x:c>
      <x:c r="K4" s="79" t="s">
        <x:v>53</x:v>
      </x:c>
      <x:c r="L4" s="79" t="str">
        <x:v>UP主视频标题明确写出“反对‘皇汉’极端民族主义者曲解《民族团结进步促进法》，筑牢中华民族共同体意识”。</x:v>
      </x:c>
      <x:c r="M4" s="79" t="str">
        <x:v>UP主公开表达反对曲解本法并支持共同体意识建设，属于明确正向立场。</x:v>
      </x:c>
      <x:c r="N4" s="81" t="s">
        <x:v>54</x:v>
      </x:c>
      <x:c r="O4" s="79" t="s">
        <x:v>44</x:v>
      </x:c>
      <x:c r="P4" s="79" t="str">
        <x:v>支持认可</x:v>
      </x:c>
      <x:c r="Q4" s="79" t="s">
        <x:v>55</x:v>
      </x:c>
      <x:c r="R4" s="79" t="s">
        <x:v>46</x:v>
      </x:c>
      <x:c r="S4" s="79" t="s">
        <x:v>46</x:v>
      </x:c>
      <x:c r="T4" s="79" t="s">
        <x:v>46</x:v>
      </x:c>
      <x:c r="U4" s="79" t="s">
        <x:v>47</x:v>
      </x:c>
      <x:c r="V4" s="79" t="s">
        <x:v>47</x:v>
      </x:c>
      <x:c r="W4" s="79" t="str">
        <x:v>最终复核：以UP主视频标题作为原始公开观点证据；不把未摘录的弹幕/评论纳入判断。</x:v>
      </x:c>
      <x:c r="X4" s="79" t="s">
        <x:v>41</x:v>
      </x:c>
      <x:c r="Y4" s="79" t="str">
        <x:v>是</x:v>
      </x:c>
    </x:row>
    <x:row r="5" ht="27.75">
      <x:c r="A5" s="79">
        <x:v>7</x:v>
      </x:c>
      <x:c r="B5" s="80">
        <x:v>46213</x:v>
      </x:c>
      <x:c r="C5" s="79" t="s">
        <x:v>36</x:v>
      </x:c>
      <x:c r="D5" s="79" t="s">
        <x:v>50</x:v>
      </x:c>
      <x:c r="E5" s="79" t="s">
        <x:v>51</x:v>
      </x:c>
      <x:c r="F5" s="79" t="s">
        <x:v>52</x:v>
      </x:c>
      <x:c r="G5" s="79" t="s">
        <x:v>39</x:v>
      </x:c>
      <x:c r="H5" s="79" t="s">
        <x:v>39</x:v>
      </x:c>
      <x:c r="I5" s="79" t="s">
        <x:v>40</x:v>
      </x:c>
      <x:c r="J5" s="79" t="s">
        <x:v>41</x:v>
      </x:c>
      <x:c r="K5" s="79" t="s">
        <x:v>56</x:v>
      </x:c>
      <x:c r="L5" s="79" t="str">
        <x:v>UP主视频标题为“一起看民族团结进步促进法”。</x:v>
      </x:c>
      <x:c r="M5" s="79" t="str">
        <x:v>视频主题直接介绍本法，但标题本身未表达明确支持或反对，按中性信息处理。</x:v>
      </x:c>
      <x:c r="N5" s="81" t="s">
        <x:v>57</x:v>
      </x:c>
      <x:c r="O5" s="79" t="s">
        <x:v>44</x:v>
      </x:c>
      <x:c r="P5" s="79" t="str">
        <x:v>中性信息</x:v>
      </x:c>
      <x:c r="Q5" s="79" t="s">
        <x:v>55</x:v>
      </x:c>
      <x:c r="R5" s="79" t="s">
        <x:v>46</x:v>
      </x:c>
      <x:c r="S5" s="79" t="s">
        <x:v>46</x:v>
      </x:c>
      <x:c r="T5" s="79" t="s">
        <x:v>46</x:v>
      </x:c>
      <x:c r="U5" s="79" t="s">
        <x:v>47</x:v>
      </x:c>
      <x:c r="V5" s="79" t="s">
        <x:v>47</x:v>
      </x:c>
      <x:c r="W5" s="79" t="str">
        <x:v>最终复核：相关性明确，但没有直接支持性措辞，改为中性信息。</x:v>
      </x:c>
      <x:c r="X5" s="79" t="s">
        <x:v>41</x:v>
      </x:c>
      <x:c r="Y5" s="79" t="str">
        <x:v>是</x:v>
      </x:c>
    </x:row>
    <x:row r="6" ht="27.75">
      <x:c r="A6" s="79">
        <x:v>8</x:v>
      </x:c>
      <x:c r="B6" s="80">
        <x:v>46213</x:v>
      </x:c>
      <x:c r="C6" s="79" t="s">
        <x:v>36</x:v>
      </x:c>
      <x:c r="D6" s="79" t="s">
        <x:v>50</x:v>
      </x:c>
      <x:c r="E6" s="79" t="s">
        <x:v>58</x:v>
      </x:c>
      <x:c r="F6" s="79" t="s">
        <x:v>52</x:v>
      </x:c>
      <x:c r="G6" s="79" t="s">
        <x:v>39</x:v>
      </x:c>
      <x:c r="H6" s="79" t="s">
        <x:v>39</x:v>
      </x:c>
      <x:c r="I6" s="79" t="s">
        <x:v>40</x:v>
      </x:c>
      <x:c r="J6" s="79" t="s">
        <x:v>41</x:v>
      </x:c>
      <x:c r="K6" s="79" t="s">
        <x:v>59</x:v>
      </x:c>
      <x:c r="L6" s="79" t="str">
        <x:v>UP主视频标题为“民族团结法7月1日正式实施，对外国人有效”。</x:v>
      </x:c>
      <x:c r="M6" s="79" t="str">
        <x:v>视频围绕施行时间和适用范围进行个人解读，标题未表达明确支持或反对，按中性信息处理。</x:v>
      </x:c>
      <x:c r="N6" s="81" t="s">
        <x:v>60</x:v>
      </x:c>
      <x:c r="O6" s="79" t="s">
        <x:v>44</x:v>
      </x:c>
      <x:c r="P6" s="79" t="str">
        <x:v>中性信息</x:v>
      </x:c>
      <x:c r="Q6" s="79" t="s">
        <x:v>61</x:v>
      </x:c>
      <x:c r="R6" s="79" t="s">
        <x:v>46</x:v>
      </x:c>
      <x:c r="S6" s="79" t="s">
        <x:v>46</x:v>
      </x:c>
      <x:c r="T6" s="79" t="s">
        <x:v>46</x:v>
      </x:c>
      <x:c r="U6" s="79" t="s">
        <x:v>47</x:v>
      </x:c>
      <x:c r="V6" s="79" t="s">
        <x:v>47</x:v>
      </x:c>
      <x:c r="W6" s="79" t="str">
        <x:v>最终复核：属于法律适用范围解读，没有直接支持性措辞，改为中性信息。</x:v>
      </x:c>
      <x:c r="X6" s="79" t="s">
        <x:v>41</x:v>
      </x:c>
      <x:c r="Y6" s="79" t="str">
        <x:v>是</x:v>
      </x:c>
    </x:row>
  </x:sheetData>
  <x:conditionalFormatting sqref="P2:P3">
    <x:cfRule type="expression" dxfId="17" priority="1" stopIfTrue="1">
      <x:formula>P2="支持认可"</x:formula>
    </x:cfRule>
    <x:cfRule type="expression" dxfId="16" priority="2" stopIfTrue="1">
      <x:formula>P2="明确批评"</x:formula>
    </x:cfRule>
    <x:cfRule type="expression" dxfId="15" priority="3" stopIfTrue="1">
      <x:formula>P2="待核实信息"</x:formula>
    </x:cfRule>
  </x:conditionalFormatting>
  <x:pageMargins left="0.7" right="0.7" top="0.75" bottom="0.75" header="0.3" footer="0.3"/>
  <x:tableParts count="1">
    <x:tablePart xmlns:r="http://schemas.openxmlformats.org/officeDocument/2006/relationships" r:id="R80a8b1fcb6be47ae"/>
  </x:tableParts>
</x:worksheet>
</file>

<file path=xl/worksheets/sheet3.xml><?xml version="1.0" encoding="utf-8"?>
<x:worksheet xmlns:x="http://schemas.openxmlformats.org/spreadsheetml/2006/main">
  <x:sheetFormatPr defaultColWidth="9" defaultRowHeight="13.5"/>
  <x:cols>
    <x:col min="1" max="1" width="34" customWidth="1"/>
    <x:col min="2" max="2" width="14" customWidth="1"/>
    <x:col min="3" max="3" width="52" customWidth="1"/>
    <x:col min="4" max="4" width="60" customWidth="1"/>
  </x:cols>
  <x:sheetData>
    <x:row r="1" ht="19.25" customHeight="1">
      <x:c r="A1" s="67" t="s">
        <x:v>62</x:v>
      </x:c>
      <x:c r="B1" s="67"/>
      <x:c r="C1" s="67"/>
      <x:c r="D1" s="67"/>
    </x:row>
    <x:row r="2" ht="14.25">
      <x:c r="A2" s="68"/>
      <x:c r="B2" s="68"/>
      <x:c r="C2" s="68"/>
      <x:c r="D2" s="68"/>
    </x:row>
    <x:row r="3" ht="15" customHeight="1">
      <x:c r="A3" s="72" t="s">
        <x:v>63</x:v>
      </x:c>
      <x:c r="B3" s="72" t="s">
        <x:v>64</x:v>
      </x:c>
      <x:c r="C3" s="68"/>
      <x:c r="D3" s="68"/>
    </x:row>
    <x:row r="4" ht="15" customHeight="1">
      <x:c r="A4" s="82" t="str">
        <x:v>有效公众意见总数</x:v>
      </x:c>
      <x:c r="B4" s="83" t="n">
        <x:f>COUNTIF('有效舆情明细'!Y2:Y6,"是")</x:f>
        <x:v>3</x:v>
      </x:c>
      <x:c r="C4" s="68"/>
      <x:c r="D4" s="68"/>
    </x:row>
    <x:row r="5" ht="15" customHeight="1">
      <x:c r="A5" s="82" t="str">
        <x:v>支持认可数量</x:v>
      </x:c>
      <x:c r="B5" s="83" t="n">
        <x:f>COUNTIFS('有效舆情明细'!Y2:Y6,"是",'有效舆情明细'!P2:P6,"支持认可")</x:f>
        <x:v>1</x:v>
      </x:c>
      <x:c r="C5" s="68"/>
      <x:c r="D5" s="68"/>
    </x:row>
    <x:row r="6" ht="15" customHeight="1">
      <x:c r="A6" s="82" t="str">
        <x:v>咨询疑问数量</x:v>
      </x:c>
      <x:c r="B6" s="83" t="n">
        <x:f>COUNTIFS('有效舆情明细'!Y2:Y6,"是",'有效舆情明细'!P2:P6,"咨询疑问")</x:f>
        <x:v>0</x:v>
      </x:c>
      <x:c r="C6" s="68"/>
      <x:c r="D6" s="68"/>
    </x:row>
    <x:row r="7" ht="15" customHeight="1">
      <x:c r="A7" s="82" t="str">
        <x:v>担忧影响数量</x:v>
      </x:c>
      <x:c r="B7" s="83" t="n">
        <x:f>COUNTIFS('有效舆情明细'!Y2:Y6,"是",'有效舆情明细'!P2:P6,"担忧影响")</x:f>
        <x:v>0</x:v>
      </x:c>
      <x:c r="C7" s="68"/>
      <x:c r="D7" s="68"/>
    </x:row>
    <x:row r="8" ht="15" customHeight="1">
      <x:c r="A8" s="82" t="str">
        <x:v>明确批评数量</x:v>
      </x:c>
      <x:c r="B8" s="83" t="n">
        <x:f>COUNTIFS('有效舆情明细'!Y2:Y6,"是",'有效舆情明细'!P2:P6,"明确批评")</x:f>
        <x:v>0</x:v>
      </x:c>
      <x:c r="C8" s="68"/>
      <x:c r="D8" s="68"/>
    </x:row>
    <x:row r="9" ht="15" customHeight="1">
      <x:c r="A9" s="82" t="str">
        <x:v>投诉维权数量</x:v>
      </x:c>
      <x:c r="B9" s="83" t="n">
        <x:f>COUNTIFS('有效舆情明细'!Y2:Y6,"是",'有效舆情明细'!P2:P6,"投诉维权")</x:f>
        <x:v>0</x:v>
      </x:c>
      <x:c r="C9" s="68"/>
      <x:c r="D9" s="68"/>
    </x:row>
    <x:row r="10" ht="15" customHeight="1">
      <x:c r="A10" s="82" t="str">
        <x:v>实施问题数量</x:v>
      </x:c>
      <x:c r="B10" s="83" t="n">
        <x:f>COUNTIFS('有效舆情明细'!Y2:Y6,"是",'有效舆情明细'!P2:P6,"实施问题")</x:f>
        <x:v>0</x:v>
      </x:c>
      <x:c r="C10" s="68"/>
      <x:c r="D10" s="68"/>
    </x:row>
    <x:row r="11" ht="15" customHeight="1">
      <x:c r="A11" s="82" t="str">
        <x:v>公平争议数量</x:v>
      </x:c>
      <x:c r="B11" s="83" t="n">
        <x:f>COUNTIFS('有效舆情明细'!Y2:Y6,"是",'有效舆情明细'!P2:P6,"公平争议")</x:f>
        <x:v>0</x:v>
      </x:c>
      <x:c r="C11" s="68"/>
      <x:c r="D11" s="68"/>
    </x:row>
    <x:row r="12" ht="15" customHeight="1">
      <x:c r="A12" s="82" t="str">
        <x:v>中性信息数量</x:v>
      </x:c>
      <x:c r="B12" s="83" t="n">
        <x:f>COUNTIFS('有效舆情明细'!Y2:Y6,"是",'有效舆情明细'!P2:P6,"中性信息")</x:f>
        <x:v>2</x:v>
      </x:c>
      <x:c r="C12" s="68"/>
      <x:c r="D12" s="68"/>
    </x:row>
    <x:row r="13" ht="15" customHeight="1">
      <x:c r="A13" s="82" t="s">
        <x:v>65</x:v>
      </x:c>
      <x:c r="B13" s="68" t="str">
        <x:v>严格按Y列=“是”统计。两条知乎保留为本法相关线索但不计公众意见；三条B站以UP主视频标题/主题作为原始公开表达，不使用未摘录评论作证据。</x:v>
      </x:c>
      <x:c r="C13" s="68"/>
      <x:c r="D13" s="68"/>
    </x:row>
    <x:row r="14" ht="14.25">
      <x:c r="A14" s="68"/>
      <x:c r="B14" s="68"/>
      <x:c r="C14" s="68"/>
      <x:c r="D14" s="68"/>
    </x:row>
    <x:row r="15" ht="15" customHeight="1">
      <x:c r="A15" s="72" t="s">
        <x:v>66</x:v>
      </x:c>
      <x:c r="B15" s="72"/>
      <x:c r="C15" s="72"/>
      <x:c r="D15" s="72"/>
    </x:row>
    <x:row r="16" ht="14.25">
      <x:c r="A16" s="68"/>
      <x:c r="B16" s="68"/>
      <x:c r="C16" s="68"/>
      <x:c r="D16" s="68"/>
    </x:row>
    <x:row r="17" ht="15" customHeight="1">
      <x:c r="A17" s="84" t="s">
        <x:v>67</x:v>
      </x:c>
      <x:c r="B17" s="72" t="s">
        <x:v>68</x:v>
      </x:c>
      <x:c r="C17" s="72" t="s">
        <x:v>69</x:v>
      </x:c>
      <x:c r="D17" s="72" t="s">
        <x:v>70</x:v>
      </x:c>
    </x:row>
    <x:row r="18" ht="15" customHeight="1">
      <x:c r="A18" s="85" t="str">
        <x:v>明确支持本法/反对曲解</x:v>
      </x:c>
      <x:c r="B18" s="86" t="n">
        <x:v>1</x:v>
      </x:c>
      <x:c r="C18" s="87" t="str">
        <x:v>哔哩哔哩</x:v>
      </x:c>
      <x:c r="D18" s="85" t="str">
        <x:v>UP主标题明确表达支持性立场</x:v>
      </x:c>
    </x:row>
    <x:row r="19" ht="26.450000762939453" customHeight="1">
      <x:c r="A19" s="85" t="str">
        <x:v>法律介绍与适用范围解读</x:v>
      </x:c>
      <x:c r="B19" s="86" t="n">
        <x:v>2</x:v>
      </x:c>
      <x:c r="C19" s="87" t="str">
        <x:v>哔哩哔哩</x:v>
      </x:c>
      <x:c r="D19" s="85" t="str">
        <x:v>相关性明确，但未出现直接支持或反对措辞，归为中性信息</x:v>
      </x:c>
    </x:row>
    <x:row r="20" ht="15" customHeight="1">
      <x:c r="A20" s="85"/>
      <x:c r="B20" s="86"/>
      <x:c r="C20" s="87"/>
      <x:c r="D20" s="86"/>
    </x:row>
    <x:row r="21" ht="15" customHeight="1">
      <x:c r="A21" s="85"/>
      <x:c r="B21" s="86"/>
      <x:c r="C21" s="87"/>
      <x:c r="D21" s="85"/>
    </x:row>
    <x:row r="22" ht="66" customHeight="1">
      <x:c r="A22" s="85"/>
      <x:c r="B22" s="86"/>
      <x:c r="C22" s="87"/>
      <x:c r="D22" s="85"/>
    </x:row>
    <x:row r="23" ht="15" customHeight="1">
      <x:c r="A23" s="85"/>
      <x:c r="B23" s="86"/>
      <x:c r="C23" s="87"/>
      <x:c r="D23" s="85"/>
    </x:row>
    <x:row r="24" ht="14.25">
      <x:c r="A24" s="68"/>
      <x:c r="B24" s="68"/>
      <x:c r="C24" s="68"/>
      <x:c r="D24" s="68"/>
    </x:row>
    <x:row r="25" ht="14.25">
      <x:c r="A25" s="68"/>
      <x:c r="B25" s="68"/>
      <x:c r="C25" s="68"/>
      <x:c r="D25" s="68"/>
    </x:row>
    <x:row r="26" ht="15" customHeight="1">
      <x:c r="A26" s="88" t="s">
        <x:v>71</x:v>
      </x:c>
      <x:c r="B26" s="88"/>
      <x:c r="C26" s="88"/>
      <x:c r="D26" s="88"/>
    </x:row>
  </x:sheetData>
  <x:mergeCells>
    <x:mergeCell ref="A1:D1"/>
    <x:mergeCell ref="A15:D15"/>
    <x:mergeCell ref="A26:D26"/>
  </x:mergeCells>
  <x:pageMargins left="0.7" right="0.7" top="0.75" bottom="0.75" header="0.3" footer="0.3"/>
</x:worksheet>
</file>

<file path=xl/worksheets/sheet4.xml><?xml version="1.0" encoding="utf-8"?>
<x:worksheet xmlns:x="http://schemas.openxmlformats.org/spreadsheetml/2006/main">
  <x:sheetFormatPr defaultColWidth="9" defaultRowHeight="13.5"/>
  <x:cols>
    <x:col min="1" max="1" width="20" customWidth="1"/>
    <x:col min="2" max="2" width="28" customWidth="1"/>
    <x:col min="3" max="3" width="34" customWidth="1"/>
    <x:col min="4" max="4" width="13" customWidth="1"/>
    <x:col min="5" max="5" width="52" customWidth="1"/>
    <x:col min="6" max="6" width="48" customWidth="1"/>
    <x:col min="7" max="7" width="34" customWidth="1"/>
  </x:cols>
  <x:sheetData>
    <x:row r="1" ht="66" customHeight="1">
      <x:c r="A1" s="1" t="s">
        <x:v>72</x:v>
      </x:c>
      <x:c r="B1" s="1" t="s">
        <x:v>73</x:v>
      </x:c>
      <x:c r="C1" s="1" t="s">
        <x:v>74</x:v>
      </x:c>
      <x:c r="D1" s="1" t="s">
        <x:v>12</x:v>
      </x:c>
      <x:c r="E1" s="1" t="s">
        <x:v>75</x:v>
      </x:c>
      <x:c r="F1" s="1" t="s">
        <x:v>24</x:v>
      </x:c>
      <x:c r="G1" s="1" t="s">
        <x:v>76</x:v>
      </x:c>
    </x:row>
    <x:row r="2" ht="79.25" customHeight="1">
      <x:c r="A2" s="2" t="s">
        <x:v>77</x:v>
      </x:c>
      <x:c r="B2" s="2" t="s">
        <x:v>78</x:v>
      </x:c>
      <x:c r="C2" s="2" t="s">
        <x:v>79</x:v>
      </x:c>
      <x:c r="D2" s="3">
        <x:v>46207</x:v>
      </x:c>
      <x:c r="E2" s="2" t="s">
        <x:v>80</x:v>
      </x:c>
      <x:c r="F2" s="4" t="s">
        <x:v>81</x:v>
      </x:c>
      <x:c r="G2" s="2" t="s">
        <x:v>47</x:v>
      </x:c>
    </x:row>
    <x:row r="3" ht="92.44999694824219" customHeight="1">
      <x:c r="A3" s="2" t="s">
        <x:v>77</x:v>
      </x:c>
      <x:c r="B3" s="2" t="s">
        <x:v>82</x:v>
      </x:c>
      <x:c r="C3" s="2" t="s">
        <x:v>83</x:v>
      </x:c>
      <x:c r="D3" s="3">
        <x:v>46220</x:v>
      </x:c>
      <x:c r="E3" s="2" t="s">
        <x:v>84</x:v>
      </x:c>
      <x:c r="F3" s="4" t="s">
        <x:v>85</x:v>
      </x:c>
      <x:c r="G3" s="2" t="s">
        <x:v>47</x:v>
      </x:c>
    </x:row>
    <x:row r="4" ht="118.80000305175781" customHeight="1">
      <x:c r="A4" s="2" t="s">
        <x:v>77</x:v>
      </x:c>
      <x:c r="B4" s="2" t="s">
        <x:v>86</x:v>
      </x:c>
      <x:c r="C4" s="2" t="s">
        <x:v>87</x:v>
      </x:c>
      <x:c r="D4" s="3">
        <x:v>46227</x:v>
      </x:c>
      <x:c r="E4" s="2" t="s">
        <x:v>88</x:v>
      </x:c>
      <x:c r="F4" s="4" t="s">
        <x:v>89</x:v>
      </x:c>
      <x:c r="G4" s="2" t="s">
        <x:v>47</x:v>
      </x:c>
    </x:row>
    <x:row r="5" ht="132" customHeight="1">
      <x:c r="A5" s="2" t="s">
        <x:v>90</x:v>
      </x:c>
      <x:c r="B5" s="2" t="s">
        <x:v>91</x:v>
      </x:c>
      <x:c r="C5" s="2" t="s">
        <x:v>92</x:v>
      </x:c>
      <x:c r="D5" s="3">
        <x:v>46227</x:v>
      </x:c>
      <x:c r="E5" s="2" t="s">
        <x:v>93</x:v>
      </x:c>
      <x:c r="F5" s="4" t="s">
        <x:v>94</x:v>
      </x:c>
      <x:c r="G5" s="2" t="s">
        <x:v>95</x:v>
      </x:c>
    </x:row>
    <x:row r="6" ht="118.80000305175781" customHeight="1">
      <x:c r="A6" s="2" t="s">
        <x:v>96</x:v>
      </x:c>
      <x:c r="B6" s="2" t="s">
        <x:v>97</x:v>
      </x:c>
      <x:c r="C6" s="2" t="s">
        <x:v>98</x:v>
      </x:c>
      <x:c r="D6" s="3">
        <x:v>46232</x:v>
      </x:c>
      <x:c r="E6" s="2" t="s">
        <x:v>99</x:v>
      </x:c>
      <x:c r="F6" s="4" t="s">
        <x:v>100</x:v>
      </x:c>
      <x:c r="G6" s="2" t="s">
        <x:v>47</x:v>
      </x:c>
    </x:row>
    <x:row r="7" ht="118.80000305175781" customHeight="1">
      <x:c r="A7" s="2" t="s">
        <x:v>101</x:v>
      </x:c>
      <x:c r="B7" s="2" t="s">
        <x:v>102</x:v>
      </x:c>
      <x:c r="C7" s="2" t="s">
        <x:v>103</x:v>
      </x:c>
      <x:c r="D7" s="3">
        <x:v>46232</x:v>
      </x:c>
      <x:c r="E7" s="2" t="s">
        <x:v>104</x:v>
      </x:c>
      <x:c r="F7" s="4" t="s">
        <x:v>100</x:v>
      </x:c>
      <x:c r="G7" s="2" t="s">
        <x:v>47</x:v>
      </x:c>
    </x:row>
    <x:row r="8" ht="66" customHeight="1">
      <x:c r="A8" s="2" t="s">
        <x:v>77</x:v>
      </x:c>
      <x:c r="B8" s="2" t="s">
        <x:v>105</x:v>
      </x:c>
      <x:c r="C8" s="2" t="s">
        <x:v>106</x:v>
      </x:c>
      <x:c r="D8" s="3">
        <x:v>46234</x:v>
      </x:c>
      <x:c r="E8" s="2" t="s">
        <x:v>107</x:v>
      </x:c>
      <x:c r="F8" s="4" t="s">
        <x:v>108</x:v>
      </x:c>
      <x:c r="G8" s="2" t="s">
        <x:v>47</x:v>
      </x:c>
    </x:row>
    <x:row r="9" ht="118.80000305175781" customHeight="1">
      <x:c r="A9" s="2" t="s">
        <x:v>109</x:v>
      </x:c>
      <x:c r="B9" s="2" t="s">
        <x:v>110</x:v>
      </x:c>
      <x:c r="C9" s="2" t="s">
        <x:v>111</x:v>
      </x:c>
      <x:c r="D9" s="3">
        <x:v>46208</x:v>
      </x:c>
      <x:c r="E9" s="2" t="s">
        <x:v>112</x:v>
      </x:c>
      <x:c r="F9" s="4" t="s">
        <x:v>113</x:v>
      </x:c>
      <x:c r="G9" s="2" t="s">
        <x:v>47</x:v>
      </x:c>
    </x:row>
    <x:row r="10" ht="118.80000305175781" customHeight="1">
      <x:c r="A10" s="2" t="s">
        <x:v>114</x:v>
      </x:c>
      <x:c r="B10" s="2" t="s">
        <x:v>115</x:v>
      </x:c>
      <x:c r="C10" s="2" t="s">
        <x:v>116</x:v>
      </x:c>
      <x:c r="D10" s="3">
        <x:v>46209</x:v>
      </x:c>
      <x:c r="E10" s="2" t="s">
        <x:v>117</x:v>
      </x:c>
      <x:c r="F10" s="4" t="s">
        <x:v>118</x:v>
      </x:c>
      <x:c r="G10" s="2" t="s">
        <x:v>47</x:v>
      </x:c>
    </x:row>
    <x:row r="11" ht="92.44999694824219" customHeight="1">
      <x:c r="A11" s="2" t="s">
        <x:v>114</x:v>
      </x:c>
      <x:c r="B11" s="2" t="s">
        <x:v>119</x:v>
      </x:c>
      <x:c r="C11" s="2" t="s">
        <x:v>120</x:v>
      </x:c>
      <x:c r="D11" s="3">
        <x:v>46232</x:v>
      </x:c>
      <x:c r="E11" s="2" t="s">
        <x:v>121</x:v>
      </x:c>
      <x:c r="F11" s="4" t="s">
        <x:v>122</x:v>
      </x:c>
      <x:c r="G11" s="2" t="s">
        <x:v>123</x:v>
      </x:c>
    </x:row>
    <x:row r="12" ht="118.80000305175781" customHeight="1">
      <x:c r="A12" s="2" t="s">
        <x:v>124</x:v>
      </x:c>
      <x:c r="B12" s="2" t="s">
        <x:v>125</x:v>
      </x:c>
      <x:c r="C12" s="2" t="s">
        <x:v>126</x:v>
      </x:c>
      <x:c r="D12" s="3">
        <x:v>46220</x:v>
      </x:c>
      <x:c r="E12" s="2" t="s">
        <x:v>127</x:v>
      </x:c>
      <x:c r="F12" s="4" t="s">
        <x:v>128</x:v>
      </x:c>
      <x:c r="G12" s="2" t="s">
        <x:v>47</x:v>
      </x:c>
    </x:row>
    <x:row r="13" ht="118.80000305175781" customHeight="1">
      <x:c r="A13" s="2" t="s">
        <x:v>129</x:v>
      </x:c>
      <x:c r="B13" s="2" t="s">
        <x:v>130</x:v>
      </x:c>
      <x:c r="C13" s="2" t="s">
        <x:v>131</x:v>
      </x:c>
      <x:c r="D13" s="3">
        <x:v>46234</x:v>
      </x:c>
      <x:c r="E13" s="2" t="s">
        <x:v>132</x:v>
      </x:c>
      <x:c r="F13" s="4" t="s">
        <x:v>133</x:v>
      </x:c>
      <x:c r="G13" s="2" t="s">
        <x:v>47</x:v>
      </x:c>
    </x:row>
    <x:row r="14" ht="105.5999984741211" customHeight="1">
      <x:c r="A14" s="2" t="s">
        <x:v>134</x:v>
      </x:c>
      <x:c r="B14" s="2" t="s">
        <x:v>135</x:v>
      </x:c>
      <x:c r="C14" s="2" t="s">
        <x:v>136</x:v>
      </x:c>
      <x:c r="D14" s="3">
        <x:v>46237</x:v>
      </x:c>
      <x:c r="E14" s="2" t="s">
        <x:v>137</x:v>
      </x:c>
      <x:c r="F14" s="4" t="s">
        <x:v>138</x:v>
      </x:c>
      <x:c r="G14" s="2" t="s">
        <x:v>139</x:v>
      </x:c>
    </x:row>
    <x:row r="15" ht="92.44999694824219" customHeight="1">
      <x:c r="A15" s="2" t="s">
        <x:v>140</x:v>
      </x:c>
      <x:c r="B15" s="2" t="s">
        <x:v>141</x:v>
      </x:c>
      <x:c r="C15" s="2" t="s">
        <x:v>142</x:v>
      </x:c>
      <x:c r="D15" s="3">
        <x:v>46219</x:v>
      </x:c>
      <x:c r="E15" s="2" t="s">
        <x:v>143</x:v>
      </x:c>
      <x:c r="F15" s="4" t="s">
        <x:v>144</x:v>
      </x:c>
      <x:c r="G15" s="2" t="s">
        <x:v>145</x:v>
      </x:c>
    </x:row>
  </x:sheetData>
  <x:pageMargins left="0.7" right="0.7" top="0.75" bottom="0.75" header="0.3" footer="0.3"/>
  <x:tableParts count="1">
    <x:tablePart xmlns:r="http://schemas.openxmlformats.org/officeDocument/2006/relationships" r:id="Re045480eb2f84720"/>
  </x:tableParts>
</x:worksheet>
</file>

<file path=xl/worksheets/sheet5.xml><?xml version="1.0" encoding="utf-8"?>
<x:worksheet xmlns:x="http://schemas.openxmlformats.org/spreadsheetml/2006/main">
  <x:sheetFormatPr defaultColWidth="9" defaultRowHeight="13.5"/>
  <x:cols>
    <x:col min="1" max="1" width="7" customWidth="1"/>
    <x:col min="2" max="2" width="15" customWidth="1"/>
    <x:col min="3" max="3" width="24" customWidth="1"/>
    <x:col min="4" max="4" width="38" customWidth="1"/>
    <x:col min="5" max="5" width="48" customWidth="1"/>
    <x:col min="6" max="6" width="20" customWidth="1"/>
    <x:col min="7" max="7" width="48" customWidth="1"/>
  </x:cols>
  <x:sheetData>
    <x:row r="1" ht="26.450000762939453" customHeight="1">
      <x:c r="A1" s="78" t="s">
        <x:v>146</x:v>
      </x:c>
      <x:c r="B1" s="78" t="s">
        <x:v>147</x:v>
      </x:c>
      <x:c r="C1" s="78" t="s">
        <x:v>14</x:v>
      </x:c>
      <x:c r="D1" s="78" t="s">
        <x:v>148</x:v>
      </x:c>
      <x:c r="E1" s="78" t="s">
        <x:v>24</x:v>
      </x:c>
      <x:c r="F1" s="78" t="s">
        <x:v>149</x:v>
      </x:c>
      <x:c r="G1" s="78" t="s">
        <x:v>70</x:v>
      </x:c>
    </x:row>
    <x:row r="2" ht="158.4499969482422" customHeight="1">
      <x:c r="A2" s="79">
        <x:v>1</x:v>
      </x:c>
      <x:c r="B2" s="94" t="s">
        <x:v>150</x:v>
      </x:c>
      <x:c r="C2" s="79" t="s">
        <x:v>37</x:v>
      </x:c>
      <x:c r="D2" s="79" t="s">
        <x:v>151</x:v>
      </x:c>
      <x:c r="E2" s="81" t="s">
        <x:v>152</x:v>
      </x:c>
      <x:c r="F2" s="93" t="s">
        <x:v>153</x:v>
      </x:c>
      <x:c r="G2" s="79"/>
      <x:c r="H2" s="15"/>
      <x:c r="I2" s="15"/>
      <x:c r="J2" s="15"/>
      <x:c r="L2" s="15"/>
      <x:c r="M2" s="15"/>
      <x:c r="O2" s="15"/>
      <x:c r="P2" s="15"/>
      <x:c r="Q2" s="15"/>
      <x:c r="R2" s="15"/>
      <x:c r="S2" s="15"/>
      <x:c r="T2" s="15"/>
      <x:c r="U2" s="15"/>
      <x:c r="V2" s="15"/>
      <x:c r="W2" s="15"/>
      <x:c r="X2" s="15"/>
      <x:c r="Y2" s="15"/>
    </x:row>
    <x:row r="3" ht="92.44999694824219" customHeight="1">
      <x:c r="A3" s="79">
        <x:v>2</x:v>
      </x:c>
      <x:c r="B3" s="94" t="s">
        <x:v>154</x:v>
      </x:c>
      <x:c r="C3" s="79" t="s">
        <x:v>37</x:v>
      </x:c>
      <x:c r="D3" s="79" t="s">
        <x:v>155</x:v>
      </x:c>
      <x:c r="E3" s="81" t="s">
        <x:v>156</x:v>
      </x:c>
      <x:c r="F3" s="93" t="s">
        <x:v>153</x:v>
      </x:c>
      <x:c r="G3" s="79"/>
      <x:c r="H3" s="15"/>
      <x:c r="I3" s="15"/>
      <x:c r="J3" s="15"/>
      <x:c r="L3" s="15"/>
      <x:c r="M3" s="15"/>
      <x:c r="O3" s="15"/>
      <x:c r="P3" s="15"/>
      <x:c r="Q3" s="15"/>
      <x:c r="R3" s="15"/>
      <x:c r="S3" s="15"/>
      <x:c r="T3" s="15"/>
      <x:c r="U3" s="15"/>
      <x:c r="V3" s="15"/>
      <x:c r="W3" s="15"/>
      <x:c r="X3" s="15"/>
      <x:c r="Y3" s="15"/>
    </x:row>
    <x:row r="4" ht="27.75">
      <x:c r="A4" s="79">
        <x:v>3</x:v>
      </x:c>
      <x:c r="B4" s="94">
        <x:v>46087</x:v>
      </x:c>
      <x:c r="C4" s="79" t="s">
        <x:v>37</x:v>
      </x:c>
      <x:c r="D4" s="79" t="s">
        <x:v>157</x:v>
      </x:c>
      <x:c r="E4" s="81" t="s">
        <x:v>158</x:v>
      </x:c>
      <x:c r="F4" s="93" t="s">
        <x:v>153</x:v>
      </x:c>
      <x:c r="G4" s="79"/>
      <x:c r="H4" s="15"/>
      <x:c r="I4" s="15"/>
      <x:c r="J4" s="15"/>
      <x:c r="L4" s="15"/>
      <x:c r="M4" s="15"/>
      <x:c r="O4" s="15"/>
      <x:c r="P4" s="15"/>
      <x:c r="Q4" s="15"/>
      <x:c r="R4" s="15"/>
      <x:c r="S4" s="15"/>
      <x:c r="T4" s="15"/>
      <x:c r="U4" s="15"/>
      <x:c r="V4" s="15"/>
      <x:c r="W4" s="15"/>
      <x:c r="X4" s="15"/>
      <x:c r="Y4" s="15"/>
    </x:row>
    <x:row r="5" ht="54.75">
      <x:c r="A5" s="79">
        <x:v>4</x:v>
      </x:c>
      <x:c r="B5" s="94">
        <x:v>43869</x:v>
      </x:c>
      <x:c r="C5" s="79" t="s">
        <x:v>37</x:v>
      </x:c>
      <x:c r="D5" s="79" t="s">
        <x:v>159</x:v>
      </x:c>
      <x:c r="E5" s="81" t="s">
        <x:v>160</x:v>
      </x:c>
      <x:c r="F5" s="93" t="s">
        <x:v>153</x:v>
      </x:c>
      <x:c r="G5" s="79"/>
      <x:c r="H5" s="15"/>
      <x:c r="I5" s="15"/>
      <x:c r="J5" s="15"/>
      <x:c r="L5" s="15"/>
      <x:c r="M5" s="15"/>
      <x:c r="O5" s="15"/>
      <x:c r="P5" s="15"/>
      <x:c r="Q5" s="15"/>
      <x:c r="R5" s="15"/>
      <x:c r="S5" s="15"/>
      <x:c r="T5" s="15"/>
      <x:c r="U5" s="15"/>
      <x:c r="V5" s="15"/>
      <x:c r="W5" s="15"/>
      <x:c r="X5" s="15"/>
      <x:c r="Y5" s="15"/>
    </x:row>
    <x:row r="6" ht="13.899999618530273">
      <x:c r="A6" s="79">
        <x:v>5</x:v>
      </x:c>
      <x:c r="B6" s="94" t="s">
        <x:v>161</x:v>
      </x:c>
      <x:c r="C6" s="79" t="s">
        <x:v>37</x:v>
      </x:c>
      <x:c r="D6" s="79" t="s">
        <x:v>162</x:v>
      </x:c>
      <x:c r="E6" s="81" t="s">
        <x:v>163</x:v>
      </x:c>
      <x:c r="F6" s="93" t="s">
        <x:v>153</x:v>
      </x:c>
      <x:c r="G6" s="79"/>
      <x:c r="H6" s="15"/>
      <x:c r="I6" s="15"/>
      <x:c r="J6" s="15"/>
      <x:c r="L6" s="15"/>
      <x:c r="M6" s="15"/>
      <x:c r="O6" s="15"/>
      <x:c r="P6" s="15"/>
      <x:c r="Q6" s="15"/>
      <x:c r="R6" s="15"/>
      <x:c r="S6" s="15"/>
      <x:c r="T6" s="15"/>
      <x:c r="U6" s="15"/>
      <x:c r="V6" s="15"/>
      <x:c r="W6" s="15"/>
      <x:c r="X6" s="15"/>
      <x:c r="Y6" s="15"/>
    </x:row>
    <x:row r="7" ht="27.75">
      <x:c r="A7" s="79">
        <x:v>6</x:v>
      </x:c>
      <x:c r="B7" s="94">
        <x:v>45781</x:v>
      </x:c>
      <x:c r="C7" s="79" t="s">
        <x:v>37</x:v>
      </x:c>
      <x:c r="D7" s="79" t="s">
        <x:v>164</x:v>
      </x:c>
      <x:c r="E7" s="81" t="s">
        <x:v>165</x:v>
      </x:c>
      <x:c r="F7" s="93" t="s">
        <x:v>153</x:v>
      </x:c>
      <x:c r="G7" s="79"/>
      <x:c r="H7" s="15"/>
      <x:c r="I7" s="15"/>
      <x:c r="J7" s="15"/>
      <x:c r="L7" s="15"/>
      <x:c r="M7" s="15"/>
      <x:c r="O7" s="15"/>
      <x:c r="P7" s="15"/>
      <x:c r="Q7" s="15"/>
      <x:c r="R7" s="15"/>
      <x:c r="S7" s="15"/>
      <x:c r="T7" s="15"/>
      <x:c r="U7" s="15"/>
      <x:c r="V7" s="15"/>
      <x:c r="W7" s="15"/>
      <x:c r="X7" s="15"/>
      <x:c r="Y7" s="15"/>
    </x:row>
    <x:row r="8" ht="13.899999618530273">
      <x:c r="A8" s="79">
        <x:v>7</x:v>
      </x:c>
      <x:c r="B8" s="94" t="s">
        <x:v>161</x:v>
      </x:c>
      <x:c r="C8" s="79" t="s">
        <x:v>37</x:v>
      </x:c>
      <x:c r="D8" s="79" t="s">
        <x:v>166</x:v>
      </x:c>
      <x:c r="E8" s="81" t="s">
        <x:v>167</x:v>
      </x:c>
      <x:c r="F8" s="93" t="s">
        <x:v>153</x:v>
      </x:c>
      <x:c r="G8" s="79"/>
      <x:c r="H8" s="15"/>
      <x:c r="I8" s="15"/>
      <x:c r="J8" s="15"/>
      <x:c r="L8" s="15"/>
      <x:c r="M8" s="15"/>
      <x:c r="O8" s="15"/>
      <x:c r="P8" s="15"/>
      <x:c r="Q8" s="15"/>
      <x:c r="R8" s="15"/>
      <x:c r="S8" s="15"/>
      <x:c r="T8" s="15"/>
      <x:c r="U8" s="15"/>
      <x:c r="V8" s="15"/>
      <x:c r="W8" s="15"/>
      <x:c r="X8" s="15"/>
      <x:c r="Y8" s="15"/>
    </x:row>
    <x:row r="9" ht="27.75">
      <x:c r="A9" s="79">
        <x:v>8</x:v>
      </x:c>
      <x:c r="B9" s="94" t="s">
        <x:v>168</x:v>
      </x:c>
      <x:c r="C9" s="79" t="s">
        <x:v>37</x:v>
      </x:c>
      <x:c r="D9" s="79" t="s">
        <x:v>169</x:v>
      </x:c>
      <x:c r="E9" s="81" t="s">
        <x:v>170</x:v>
      </x:c>
      <x:c r="F9" s="93" t="s">
        <x:v>153</x:v>
      </x:c>
      <x:c r="G9" s="79"/>
      <x:c r="H9" s="15"/>
      <x:c r="I9" s="15"/>
      <x:c r="J9" s="15"/>
      <x:c r="L9" s="15"/>
      <x:c r="M9" s="15"/>
      <x:c r="O9" s="15"/>
      <x:c r="P9" s="15"/>
      <x:c r="Q9" s="15"/>
      <x:c r="R9" s="15"/>
      <x:c r="S9" s="15"/>
      <x:c r="T9" s="15"/>
      <x:c r="U9" s="15"/>
      <x:c r="V9" s="15"/>
      <x:c r="W9" s="15"/>
      <x:c r="X9" s="15"/>
      <x:c r="Y9" s="15"/>
    </x:row>
    <x:row r="10" ht="41.650001525878906">
      <x:c r="A10" s="79">
        <x:v>9</x:v>
      </x:c>
      <x:c r="B10" s="94">
        <x:v>45743</x:v>
      </x:c>
      <x:c r="C10" s="79" t="s">
        <x:v>37</x:v>
      </x:c>
      <x:c r="D10" s="79" t="s">
        <x:v>171</x:v>
      </x:c>
      <x:c r="E10" s="81" t="s">
        <x:v>172</x:v>
      </x:c>
      <x:c r="F10" s="93" t="s">
        <x:v>153</x:v>
      </x:c>
      <x:c r="G10" s="79"/>
      <x:c r="H10" s="15"/>
      <x:c r="I10" s="15"/>
      <x:c r="J10" s="15"/>
      <x:c r="L10" s="15"/>
      <x:c r="M10" s="15"/>
      <x:c r="O10" s="15"/>
      <x:c r="P10" s="15"/>
      <x:c r="Q10" s="15"/>
      <x:c r="R10" s="15"/>
      <x:c r="S10" s="15"/>
      <x:c r="T10" s="15"/>
      <x:c r="U10" s="15"/>
      <x:c r="V10" s="15"/>
      <x:c r="W10" s="15"/>
      <x:c r="X10" s="15"/>
      <x:c r="Y10" s="15"/>
    </x:row>
    <x:row r="11" ht="13.899999618530273">
      <x:c r="A11" s="79">
        <x:v>10</x:v>
      </x:c>
      <x:c r="B11" s="94">
        <x:v>45743</x:v>
      </x:c>
      <x:c r="C11" s="79" t="s">
        <x:v>37</x:v>
      </x:c>
      <x:c r="D11" s="79" t="s">
        <x:v>173</x:v>
      </x:c>
      <x:c r="E11" s="81" t="s">
        <x:v>174</x:v>
      </x:c>
      <x:c r="F11" s="93" t="s">
        <x:v>153</x:v>
      </x:c>
      <x:c r="G11" s="79"/>
      <x:c r="H11" s="15"/>
      <x:c r="I11" s="15"/>
      <x:c r="J11" s="15"/>
      <x:c r="L11" s="15"/>
      <x:c r="M11" s="15"/>
      <x:c r="O11" s="15"/>
      <x:c r="P11" s="15"/>
      <x:c r="Q11" s="15"/>
      <x:c r="R11" s="15"/>
      <x:c r="S11" s="15"/>
      <x:c r="T11" s="15"/>
      <x:c r="U11" s="15"/>
      <x:c r="V11" s="15"/>
      <x:c r="W11" s="15"/>
      <x:c r="X11" s="15"/>
      <x:c r="Y11" s="15"/>
    </x:row>
    <x:row r="12" ht="27.75">
      <x:c r="A12" s="79">
        <x:v>11</x:v>
      </x:c>
      <x:c r="B12" s="94" t="s">
        <x:v>175</x:v>
      </x:c>
      <x:c r="C12" s="79" t="s">
        <x:v>37</x:v>
      </x:c>
      <x:c r="D12" s="79" t="s">
        <x:v>176</x:v>
      </x:c>
      <x:c r="E12" s="81" t="s">
        <x:v>177</x:v>
      </x:c>
      <x:c r="F12" s="93" t="s">
        <x:v>153</x:v>
      </x:c>
      <x:c r="G12" s="79"/>
      <x:c r="H12" s="15"/>
      <x:c r="I12" s="15"/>
      <x:c r="J12" s="15"/>
      <x:c r="L12" s="15"/>
      <x:c r="M12" s="15"/>
      <x:c r="O12" s="15"/>
      <x:c r="P12" s="15"/>
      <x:c r="Q12" s="15"/>
      <x:c r="R12" s="15"/>
      <x:c r="S12" s="15"/>
      <x:c r="T12" s="15"/>
      <x:c r="U12" s="15"/>
      <x:c r="V12" s="15"/>
      <x:c r="W12" s="15"/>
      <x:c r="X12" s="15"/>
      <x:c r="Y12" s="15"/>
    </x:row>
    <x:row r="13" ht="27.75">
      <x:c r="A13" s="79">
        <x:v>12</x:v>
      </x:c>
      <x:c r="B13" s="94" t="s">
        <x:v>175</x:v>
      </x:c>
      <x:c r="C13" s="79" t="s">
        <x:v>37</x:v>
      </x:c>
      <x:c r="D13" s="79" t="s">
        <x:v>178</x:v>
      </x:c>
      <x:c r="E13" s="81" t="s">
        <x:v>179</x:v>
      </x:c>
      <x:c r="F13" s="93" t="s">
        <x:v>153</x:v>
      </x:c>
      <x:c r="G13" s="79"/>
      <x:c r="H13" s="15"/>
      <x:c r="I13" s="15"/>
      <x:c r="J13" s="15"/>
      <x:c r="L13" s="15"/>
      <x:c r="M13" s="15"/>
      <x:c r="O13" s="15"/>
      <x:c r="P13" s="15"/>
      <x:c r="Q13" s="15"/>
      <x:c r="R13" s="15"/>
      <x:c r="S13" s="15"/>
      <x:c r="T13" s="15"/>
      <x:c r="U13" s="15"/>
      <x:c r="V13" s="15"/>
      <x:c r="W13" s="15"/>
      <x:c r="X13" s="15"/>
      <x:c r="Y13" s="15"/>
    </x:row>
    <x:row r="14" ht="27">
      <x:c r="A14" s="79">
        <x:v>13</x:v>
      </x:c>
      <x:c r="B14" s="94" t="s">
        <x:v>180</x:v>
      </x:c>
      <x:c r="C14" s="79" t="s">
        <x:v>37</x:v>
      </x:c>
      <x:c r="D14" s="79" t="s">
        <x:v>181</x:v>
      </x:c>
      <x:c r="E14" s="81" t="s">
        <x:v>182</x:v>
      </x:c>
      <x:c r="F14" s="93" t="s">
        <x:v>153</x:v>
      </x:c>
      <x:c r="G14" s="79"/>
      <x:c r="H14" s="15"/>
      <x:c r="I14" s="15"/>
      <x:c r="J14" s="15"/>
      <x:c r="L14" s="15"/>
      <x:c r="M14" s="15"/>
      <x:c r="O14" s="15"/>
      <x:c r="P14" s="15"/>
      <x:c r="Q14" s="15"/>
      <x:c r="R14" s="15"/>
      <x:c r="S14" s="15"/>
      <x:c r="T14" s="15"/>
      <x:c r="U14" s="15"/>
      <x:c r="V14" s="15"/>
      <x:c r="W14" s="15"/>
      <x:c r="X14" s="15"/>
      <x:c r="Y14" s="15"/>
    </x:row>
    <x:row r="15" ht="13.899999618530273">
      <x:c r="A15" s="79">
        <x:v>14</x:v>
      </x:c>
      <x:c r="B15" s="94" t="s">
        <x:v>183</x:v>
      </x:c>
      <x:c r="C15" s="79" t="s">
        <x:v>37</x:v>
      </x:c>
      <x:c r="D15" s="79" t="s">
        <x:v>184</x:v>
      </x:c>
      <x:c r="E15" s="81" t="s">
        <x:v>185</x:v>
      </x:c>
      <x:c r="F15" s="93" t="s">
        <x:v>153</x:v>
      </x:c>
      <x:c r="G15" s="79"/>
      <x:c r="H15" s="15"/>
      <x:c r="I15" s="15"/>
      <x:c r="J15" s="15"/>
      <x:c r="L15" s="15"/>
      <x:c r="M15" s="15"/>
      <x:c r="O15" s="15"/>
      <x:c r="P15" s="15"/>
      <x:c r="Q15" s="15"/>
      <x:c r="R15" s="15"/>
      <x:c r="S15" s="15"/>
      <x:c r="T15" s="15"/>
      <x:c r="U15" s="15"/>
      <x:c r="V15" s="15"/>
      <x:c r="W15" s="15"/>
      <x:c r="X15" s="15"/>
      <x:c r="Y15" s="15"/>
    </x:row>
    <x:row r="16" ht="27.75">
      <x:c r="A16" s="79">
        <x:v>15</x:v>
      </x:c>
      <x:c r="B16" s="94" t="s">
        <x:v>186</x:v>
      </x:c>
      <x:c r="C16" s="79" t="s">
        <x:v>37</x:v>
      </x:c>
      <x:c r="D16" s="79" t="s">
        <x:v>187</x:v>
      </x:c>
      <x:c r="E16" s="81" t="s">
        <x:v>188</x:v>
      </x:c>
      <x:c r="F16" s="93" t="s">
        <x:v>153</x:v>
      </x:c>
      <x:c r="G16" s="79"/>
      <x:c r="H16" s="15"/>
      <x:c r="I16" s="15"/>
      <x:c r="J16" s="15"/>
      <x:c r="L16" s="15"/>
      <x:c r="M16" s="15"/>
      <x:c r="O16" s="15"/>
      <x:c r="P16" s="15"/>
      <x:c r="Q16" s="15"/>
      <x:c r="R16" s="15"/>
      <x:c r="S16" s="15"/>
      <x:c r="T16" s="15"/>
      <x:c r="U16" s="15"/>
      <x:c r="V16" s="15"/>
      <x:c r="W16" s="15"/>
      <x:c r="X16" s="15"/>
      <x:c r="Y16" s="15"/>
    </x:row>
    <x:row r="17" ht="27.75">
      <x:c r="A17" s="79">
        <x:v>16</x:v>
      </x:c>
      <x:c r="B17" s="94" t="s">
        <x:v>189</x:v>
      </x:c>
      <x:c r="C17" s="79" t="s">
        <x:v>37</x:v>
      </x:c>
      <x:c r="D17" s="79" t="s">
        <x:v>190</x:v>
      </x:c>
      <x:c r="E17" s="81" t="s">
        <x:v>191</x:v>
      </x:c>
      <x:c r="F17" s="93" t="s">
        <x:v>153</x:v>
      </x:c>
      <x:c r="G17" s="79"/>
      <x:c r="H17" s="15"/>
      <x:c r="I17" s="15"/>
      <x:c r="J17" s="15"/>
      <x:c r="L17" s="15"/>
      <x:c r="M17" s="15"/>
      <x:c r="O17" s="15"/>
      <x:c r="P17" s="15"/>
      <x:c r="Q17" s="15"/>
      <x:c r="R17" s="15"/>
      <x:c r="S17" s="15"/>
      <x:c r="T17" s="15"/>
      <x:c r="U17" s="15"/>
      <x:c r="V17" s="15"/>
      <x:c r="W17" s="15"/>
      <x:c r="X17" s="15"/>
      <x:c r="Y17" s="15"/>
    </x:row>
    <x:row r="18" ht="27">
      <x:c r="A18" s="79">
        <x:v>17</x:v>
      </x:c>
      <x:c r="B18" s="94">
        <x:v>45184</x:v>
      </x:c>
      <x:c r="C18" s="79" t="s">
        <x:v>37</x:v>
      </x:c>
      <x:c r="D18" s="79" t="s">
        <x:v>192</x:v>
      </x:c>
      <x:c r="E18" s="81" t="s">
        <x:v>193</x:v>
      </x:c>
      <x:c r="F18" s="93" t="s">
        <x:v>153</x:v>
      </x:c>
      <x:c r="G18" s="79"/>
      <x:c r="H18" s="15"/>
      <x:c r="I18" s="15"/>
      <x:c r="J18" s="15"/>
      <x:c r="L18" s="15"/>
      <x:c r="M18" s="15"/>
      <x:c r="O18" s="15"/>
      <x:c r="P18" s="15"/>
      <x:c r="Q18" s="15"/>
      <x:c r="R18" s="15"/>
      <x:c r="S18" s="15"/>
      <x:c r="T18" s="15"/>
      <x:c r="U18" s="15"/>
      <x:c r="V18" s="15"/>
      <x:c r="W18" s="15"/>
      <x:c r="X18" s="15"/>
      <x:c r="Y18" s="15"/>
    </x:row>
    <x:row r="19" ht="13.899999618530273">
      <x:c r="A19" s="79">
        <x:v>18</x:v>
      </x:c>
      <x:c r="B19" s="94" t="s">
        <x:v>194</x:v>
      </x:c>
      <x:c r="C19" s="79" t="s">
        <x:v>37</x:v>
      </x:c>
      <x:c r="D19" s="79" t="s">
        <x:v>195</x:v>
      </x:c>
      <x:c r="E19" s="81" t="s">
        <x:v>196</x:v>
      </x:c>
      <x:c r="F19" s="93" t="s">
        <x:v>153</x:v>
      </x:c>
      <x:c r="G19" s="79"/>
      <x:c r="H19" s="15"/>
      <x:c r="I19" s="15"/>
      <x:c r="J19" s="15"/>
      <x:c r="L19" s="15"/>
      <x:c r="M19" s="15"/>
      <x:c r="O19" s="15"/>
      <x:c r="P19" s="15"/>
      <x:c r="Q19" s="15"/>
      <x:c r="R19" s="15"/>
      <x:c r="S19" s="15"/>
      <x:c r="T19" s="15"/>
      <x:c r="U19" s="15"/>
      <x:c r="V19" s="15"/>
      <x:c r="W19" s="15"/>
      <x:c r="X19" s="15"/>
      <x:c r="Y19" s="15"/>
    </x:row>
    <x:row r="20" ht="13.899999618530273">
      <x:c r="A20" s="79">
        <x:v>19</x:v>
      </x:c>
      <x:c r="B20" s="94">
        <x:v>43975</x:v>
      </x:c>
      <x:c r="C20" s="79" t="s">
        <x:v>37</x:v>
      </x:c>
      <x:c r="D20" s="79" t="s">
        <x:v>197</x:v>
      </x:c>
      <x:c r="E20" s="81" t="s">
        <x:v>198</x:v>
      </x:c>
      <x:c r="F20" s="93" t="s">
        <x:v>153</x:v>
      </x:c>
      <x:c r="G20" s="79"/>
      <x:c r="H20" s="15"/>
      <x:c r="I20" s="15"/>
      <x:c r="J20" s="15"/>
      <x:c r="L20" s="15"/>
      <x:c r="M20" s="15"/>
      <x:c r="O20" s="15"/>
      <x:c r="P20" s="15"/>
      <x:c r="Q20" s="15"/>
      <x:c r="R20" s="15"/>
      <x:c r="S20" s="15"/>
      <x:c r="T20" s="15"/>
      <x:c r="U20" s="15"/>
      <x:c r="V20" s="15"/>
      <x:c r="W20" s="15"/>
      <x:c r="X20" s="15"/>
      <x:c r="Y20" s="15"/>
    </x:row>
    <x:row r="21" ht="27">
      <x:c r="A21" s="79">
        <x:v>20</x:v>
      </x:c>
      <x:c r="B21" s="94" t="s">
        <x:v>199</x:v>
      </x:c>
      <x:c r="C21" s="79" t="s">
        <x:v>37</x:v>
      </x:c>
      <x:c r="D21" s="79" t="s">
        <x:v>200</x:v>
      </x:c>
      <x:c r="E21" s="81" t="s">
        <x:v>201</x:v>
      </x:c>
      <x:c r="F21" s="93" t="s">
        <x:v>153</x:v>
      </x:c>
      <x:c r="G21" s="79"/>
      <x:c r="H21" s="15"/>
      <x:c r="I21" s="15"/>
      <x:c r="J21" s="15"/>
      <x:c r="L21" s="15"/>
      <x:c r="M21" s="15"/>
      <x:c r="O21" s="15"/>
      <x:c r="P21" s="15"/>
      <x:c r="Q21" s="15"/>
      <x:c r="R21" s="15"/>
      <x:c r="S21" s="15"/>
      <x:c r="T21" s="15"/>
      <x:c r="U21" s="15"/>
      <x:c r="V21" s="15"/>
      <x:c r="W21" s="15"/>
      <x:c r="X21" s="15"/>
      <x:c r="Y21" s="15"/>
    </x:row>
    <x:row r="22" ht="27.75">
      <x:c r="A22" s="79">
        <x:v>21</x:v>
      </x:c>
      <x:c r="B22" s="94" t="s">
        <x:v>202</x:v>
      </x:c>
      <x:c r="C22" s="83"/>
      <x:c r="D22" s="79" t="s">
        <x:v>203</x:v>
      </x:c>
      <x:c r="E22" s="81" t="s">
        <x:v>204</x:v>
      </x:c>
      <x:c r="F22" s="93" t="s">
        <x:v>153</x:v>
      </x:c>
      <x:c r="G22" s="79"/>
      <x:c r="H22" s="15"/>
      <x:c r="I22" s="15"/>
      <x:c r="J22" s="15"/>
      <x:c r="L22" s="15"/>
      <x:c r="M22" s="15"/>
      <x:c r="O22" s="15"/>
      <x:c r="P22" s="15"/>
      <x:c r="Q22" s="15"/>
      <x:c r="R22" s="15"/>
      <x:c r="S22" s="15"/>
      <x:c r="T22" s="15"/>
      <x:c r="U22" s="15"/>
      <x:c r="V22" s="15"/>
      <x:c r="W22" s="15"/>
      <x:c r="X22" s="15"/>
      <x:c r="Y22" s="15"/>
    </x:row>
    <x:row r="23" ht="67.5">
      <x:c r="A23" s="79">
        <x:v>22</x:v>
      </x:c>
      <x:c r="B23" s="94">
        <x:v>46126</x:v>
      </x:c>
      <x:c r="C23" s="83" t="s">
        <x:v>205</x:v>
      </x:c>
      <x:c r="D23" s="79" t="s">
        <x:v>206</x:v>
      </x:c>
      <x:c r="E23" s="81" t="s">
        <x:v>207</x:v>
      </x:c>
      <x:c r="F23" s="93" t="s">
        <x:v>153</x:v>
      </x:c>
      <x:c r="G23" s="79"/>
      <x:c r="H23" s="15"/>
      <x:c r="I23" s="15"/>
      <x:c r="J23" s="15"/>
      <x:c r="L23" s="15"/>
      <x:c r="M23" s="15"/>
      <x:c r="O23" s="15"/>
      <x:c r="P23" s="15"/>
      <x:c r="Q23" s="15"/>
      <x:c r="R23" s="15"/>
      <x:c r="S23" s="15"/>
      <x:c r="T23" s="15"/>
      <x:c r="U23" s="15"/>
      <x:c r="V23" s="15"/>
      <x:c r="W23" s="15"/>
      <x:c r="X23" s="15"/>
      <x:c r="Y23" s="15"/>
    </x:row>
    <x:row r="24" ht="67.5">
      <x:c r="A24" s="79">
        <x:v>23</x:v>
      </x:c>
      <x:c r="B24" s="94">
        <x:v>46134</x:v>
      </x:c>
      <x:c r="C24" s="83" t="s">
        <x:v>205</x:v>
      </x:c>
      <x:c r="D24" s="79" t="s">
        <x:v>208</x:v>
      </x:c>
      <x:c r="E24" s="81" t="s">
        <x:v>209</x:v>
      </x:c>
      <x:c r="F24" s="93" t="s">
        <x:v>153</x:v>
      </x:c>
      <x:c r="G24" s="79"/>
      <x:c r="H24" s="15"/>
      <x:c r="I24" s="15"/>
      <x:c r="J24" s="15"/>
      <x:c r="L24" s="15"/>
      <x:c r="M24" s="15"/>
      <x:c r="O24" s="15"/>
      <x:c r="P24" s="15"/>
      <x:c r="Q24" s="15"/>
      <x:c r="R24" s="15"/>
      <x:c r="S24" s="15"/>
      <x:c r="T24" s="15"/>
      <x:c r="U24" s="15"/>
      <x:c r="V24" s="15"/>
      <x:c r="W24" s="15"/>
      <x:c r="X24" s="15"/>
      <x:c r="Y24" s="15"/>
    </x:row>
    <x:row r="25" ht="54">
      <x:c r="A25" s="79">
        <x:v>24</x:v>
      </x:c>
      <x:c r="B25" s="94">
        <x:v>44710</x:v>
      </x:c>
      <x:c r="C25" s="83" t="s">
        <x:v>205</x:v>
      </x:c>
      <x:c r="D25" s="79" t="s">
        <x:v>210</x:v>
      </x:c>
      <x:c r="E25" s="81" t="s">
        <x:v>211</x:v>
      </x:c>
      <x:c r="F25" s="93" t="s">
        <x:v>153</x:v>
      </x:c>
      <x:c r="G25" s="79"/>
      <x:c r="H25" s="15"/>
      <x:c r="I25" s="15"/>
      <x:c r="J25" s="15"/>
      <x:c r="L25" s="15"/>
      <x:c r="M25" s="15"/>
      <x:c r="O25" s="15"/>
      <x:c r="P25" s="15"/>
      <x:c r="Q25" s="15"/>
      <x:c r="R25" s="15"/>
      <x:c r="S25" s="15"/>
      <x:c r="T25" s="15"/>
      <x:c r="U25" s="15"/>
      <x:c r="V25" s="15"/>
      <x:c r="W25" s="15"/>
      <x:c r="X25" s="15"/>
      <x:c r="Y25" s="15"/>
    </x:row>
    <x:row r="26" ht="54">
      <x:c r="A26" s="79">
        <x:v>25</x:v>
      </x:c>
      <x:c r="B26" s="94" t="s">
        <x:v>212</x:v>
      </x:c>
      <x:c r="C26" s="83" t="s">
        <x:v>205</x:v>
      </x:c>
      <x:c r="D26" s="79" t="s">
        <x:v>213</x:v>
      </x:c>
      <x:c r="E26" s="81" t="s">
        <x:v>214</x:v>
      </x:c>
      <x:c r="F26" s="93" t="s">
        <x:v>153</x:v>
      </x:c>
      <x:c r="G26" s="79"/>
      <x:c r="H26" s="15"/>
      <x:c r="I26" s="15"/>
      <x:c r="J26" s="15"/>
      <x:c r="L26" s="15"/>
      <x:c r="M26" s="15"/>
      <x:c r="O26" s="15"/>
      <x:c r="P26" s="15"/>
      <x:c r="Q26" s="15"/>
      <x:c r="R26" s="15"/>
      <x:c r="S26" s="15"/>
      <x:c r="T26" s="15"/>
      <x:c r="U26" s="15"/>
      <x:c r="V26" s="15"/>
      <x:c r="W26" s="15"/>
      <x:c r="X26" s="15"/>
      <x:c r="Y26" s="15"/>
    </x:row>
    <x:row r="27" ht="27.75">
      <x:c r="A27" s="79">
        <x:v>26</x:v>
      </x:c>
      <x:c r="B27" s="94">
        <x:v>46218</x:v>
      </x:c>
      <x:c r="C27" s="95" t="s">
        <x:v>37</x:v>
      </x:c>
      <x:c r="D27" s="79" t="s">
        <x:v>215</x:v>
      </x:c>
      <x:c r="E27" s="81" t="s">
        <x:v>216</x:v>
      </x:c>
      <x:c r="F27" s="93" t="s">
        <x:v>217</x:v>
      </x:c>
      <x:c r="G27" s="79"/>
      <x:c r="H27" s="15"/>
      <x:c r="I27" s="15"/>
      <x:c r="J27" s="15"/>
      <x:c r="K27" s="15"/>
      <x:c r="L27" s="15"/>
      <x:c r="M27" s="15"/>
      <x:c r="N27" s="15"/>
      <x:c r="O27" s="15"/>
      <x:c r="P27" s="15"/>
    </x:row>
    <x:row r="28" ht="27.75">
      <x:c r="A28" s="79">
        <x:v>27</x:v>
      </x:c>
      <x:c r="B28" s="96" t="s">
        <x:v>218</x:v>
      </x:c>
      <x:c r="C28" s="95" t="s">
        <x:v>37</x:v>
      </x:c>
      <x:c r="D28" s="79" t="s">
        <x:v>219</x:v>
      </x:c>
      <x:c r="E28" s="81" t="s">
        <x:v>220</x:v>
      </x:c>
      <x:c r="F28" s="93" t="s">
        <x:v>153</x:v>
      </x:c>
      <x:c r="G28" s="79"/>
      <x:c r="H28" s="15"/>
      <x:c r="I28" s="15"/>
      <x:c r="J28" s="15"/>
      <x:c r="K28" s="15"/>
      <x:c r="L28" s="15"/>
      <x:c r="M28" s="15"/>
      <x:c r="N28" s="15"/>
      <x:c r="O28" s="15"/>
      <x:c r="P28" s="15"/>
    </x:row>
    <x:row r="29" ht="41.650001525878906">
      <x:c r="A29" s="79">
        <x:v>28</x:v>
      </x:c>
      <x:c r="B29" s="80">
        <x:v>46213</x:v>
      </x:c>
      <x:c r="C29" s="79" t="s">
        <x:v>50</x:v>
      </x:c>
      <x:c r="D29" s="79" t="s">
        <x:v>221</x:v>
      </x:c>
      <x:c r="E29" s="81" t="s">
        <x:v>222</x:v>
      </x:c>
      <x:c r="F29" s="79" t="s">
        <x:v>223</x:v>
      </x:c>
      <x:c r="G29" s="79" t="s">
        <x:v>224</x:v>
      </x:c>
      <x:c r="H29" s="15"/>
      <x:c r="I29" s="12"/>
      <x:c r="J29" s="15"/>
      <x:c r="K29" s="15"/>
      <x:c r="L29" s="15"/>
      <x:c r="M29" s="15"/>
      <x:c r="N29" s="15"/>
      <x:c r="O29" s="15"/>
      <x:c r="P29" s="15"/>
      <x:c r="Q29" s="15"/>
      <x:c r="R29" s="15"/>
    </x:row>
    <x:row r="30" ht="13.899999618530273">
      <x:c r="A30" s="79" t="n">
        <x:v>29</x:v>
      </x:c>
      <x:c r="B30" s="83" t="n">
        <x:v>46218</x:v>
      </x:c>
      <x:c r="C30" s="83" t="str">
        <x:v>知乎</x:v>
      </x:c>
      <x:c r="D30" s="83" t="str">
        <x:v>民族团结进步促进法的实施，让石榴花开更艳 青春同心绽放 ｜《中国妇女》评论</x:v>
      </x:c>
      <x:c r="E30" s="83" t="str">
        <x:v>https://zhuanlan.zhihu.com/p/2067608355355505291</x:v>
      </x:c>
      <x:c r="F30" s="83" t="str">
        <x:v>公众统计排除</x:v>
      </x:c>
      <x:c r="G30" s="83" t="str">
        <x:v>与本法直接相关，但来源性质偏媒体评论，且未保存公众评论原话；保留为相关线索，不计公众意见。</x:v>
      </x:c>
    </x:row>
    <x:row r="31" ht="13.899999618530273">
      <x:c r="A31" s="79" t="n">
        <x:v>30</x:v>
      </x:c>
      <x:c r="B31" s="83" t="n">
        <x:v>46218</x:v>
      </x:c>
      <x:c r="C31" s="83" t="str">
        <x:v>知乎</x:v>
      </x:c>
      <x:c r="D31" s="83" t="str">
        <x:v>一部中国法律落地！美欧反应激烈，境外黑手知道大事不妙了？</x:v>
      </x:c>
      <x:c r="E31" s="83" t="str">
        <x:v>https://zhuanlan.zhihu.com/p/2056903490518230049</x:v>
      </x:c>
      <x:c r="F31" s="83" t="str">
        <x:v>公众统计排除</x:v>
      </x:c>
      <x:c r="G31" s="83" t="str">
        <x:v>与本法直接相关，但工作簿未保存作者身份或评论区公众原话；按严格证据口径不计公众意见。</x:v>
      </x:c>
    </x:row>
    <x:row r="32" ht="13.899999618530273">
      <x:c r="A32" s="15"/>
    </x:row>
    <x:row r="33" ht="13.899999618530273">
      <x:c r="A33" s="15"/>
    </x:row>
    <x:row r="34" ht="13.899999618530273">
      <x:c r="A34" s="15"/>
    </x:row>
    <x:row r="35" ht="13.899999618530273">
      <x:c r="A35" s="15"/>
    </x:row>
    <x:row r="36" ht="13.899999618530273">
      <x:c r="A36" s="15"/>
    </x:row>
    <x:row r="37" ht="13.899999618530273">
      <x:c r="A37" s="15"/>
    </x:row>
    <x:row r="38" ht="13.899999618530273">
      <x:c r="A38" s="15"/>
    </x:row>
    <x:row r="39" ht="13.899999618530273">
      <x:c r="A39" s="15"/>
    </x:row>
  </x:sheetData>
  <x:conditionalFormatting sqref="P2:P22">
    <x:cfRule type="expression" dxfId="14" priority="10" stopIfTrue="1">
      <x:formula>P2="支持认可"</x:formula>
    </x:cfRule>
    <x:cfRule type="expression" dxfId="13" priority="11" stopIfTrue="1">
      <x:formula>P2="明确批评"</x:formula>
    </x:cfRule>
    <x:cfRule type="expression" dxfId="12" priority="12" stopIfTrue="1">
      <x:formula>P2="待核实信息"</x:formula>
    </x:cfRule>
  </x:conditionalFormatting>
  <x:conditionalFormatting sqref="G27:G27">
    <x:cfRule type="expression" dxfId="11" priority="7" stopIfTrue="1">
      <x:formula>G27="支持认可"</x:formula>
    </x:cfRule>
    <x:cfRule type="expression" dxfId="10" priority="8" stopIfTrue="1">
      <x:formula>G27="明确批评"</x:formula>
    </x:cfRule>
    <x:cfRule type="expression" dxfId="9" priority="9" stopIfTrue="1">
      <x:formula>G27="待核实信息"</x:formula>
    </x:cfRule>
  </x:conditionalFormatting>
  <x:conditionalFormatting sqref="G28:G28">
    <x:cfRule type="expression" dxfId="8" priority="4" stopIfTrue="1">
      <x:formula>G28="支持认可"</x:formula>
    </x:cfRule>
    <x:cfRule type="expression" dxfId="7" priority="5" stopIfTrue="1">
      <x:formula>G28="明确批评"</x:formula>
    </x:cfRule>
    <x:cfRule type="expression" dxfId="6" priority="6" stopIfTrue="1">
      <x:formula>G28="待核实信息"</x:formula>
    </x:cfRule>
  </x:conditionalFormatting>
  <x:conditionalFormatting sqref="I29:I29">
    <x:cfRule type="expression" dxfId="5" priority="1" stopIfTrue="1">
      <x:formula>I29="支持认可"</x:formula>
    </x:cfRule>
    <x:cfRule type="expression" dxfId="4" priority="2" stopIfTrue="1">
      <x:formula>I29="明确批评"</x:formula>
    </x:cfRule>
    <x:cfRule type="expression" dxfId="3" priority="3" stopIfTrue="1">
      <x:formula>I29="待核实信息"</x:formula>
    </x:cfRule>
  </x:conditionalFormatting>
  <x:pageMargins left="0.7" right="0.7" top="0.75" bottom="0.75" header="0.3" footer="0.3"/>
  <x:tableParts count="1">
    <x:tablePart xmlns:r="http://schemas.openxmlformats.org/officeDocument/2006/relationships" r:id="R70f835897aaa4aa4"/>
  </x:tableParts>
</x:worksheet>
</file>

<file path=xl/worksheets/sheet6.xml><?xml version="1.0" encoding="utf-8"?>
<x:worksheet xmlns:x="http://schemas.openxmlformats.org/spreadsheetml/2006/main">
  <x:sheetFormatPr defaultColWidth="9" defaultRowHeight="13.5"/>
  <x:cols>
    <x:col min="1" max="1" width="38" customWidth="1"/>
    <x:col min="2" max="4" width="52" customWidth="1"/>
  </x:cols>
  <x:sheetData>
    <x:row r="1" ht="39.599998474121094" customHeight="1">
      <x:c r="A1" s="1" t="s">
        <x:v>225</x:v>
      </x:c>
      <x:c r="B1" s="1" t="s">
        <x:v>226</x:v>
      </x:c>
      <x:c r="C1" s="1" t="s">
        <x:v>227</x:v>
      </x:c>
      <x:c r="D1" s="1" t="s">
        <x:v>228</x:v>
      </x:c>
    </x:row>
    <x:row r="2" ht="145.25" customHeight="1">
      <x:c r="A2" s="2" t="s">
        <x:v>229</x:v>
      </x:c>
      <x:c r="B2" s="2" t="s">
        <x:v>230</x:v>
      </x:c>
      <x:c r="C2" s="2" t="s">
        <x:v>231</x:v>
      </x:c>
      <x:c r="D2" s="2" t="s">
        <x:v>232</x:v>
      </x:c>
    </x:row>
    <x:row r="3" ht="105.5999984741211" customHeight="1">
      <x:c r="A3" s="2" t="s">
        <x:v>233</x:v>
      </x:c>
      <x:c r="B3" s="2" t="s">
        <x:v>234</x:v>
      </x:c>
      <x:c r="C3" s="2" t="s">
        <x:v>235</x:v>
      </x:c>
      <x:c r="D3" s="2" t="s">
        <x:v>236</x:v>
      </x:c>
    </x:row>
    <x:row r="4" ht="66" customHeight="1">
      <x:c r="A4" s="2" t="s">
        <x:v>237</x:v>
      </x:c>
      <x:c r="B4" s="2" t="s">
        <x:v>238</x:v>
      </x:c>
      <x:c r="C4" s="2" t="s">
        <x:v>239</x:v>
      </x:c>
      <x:c r="D4" s="2" t="s">
        <x:v>240</x:v>
      </x:c>
    </x:row>
    <x:row r="5" ht="79.25" customHeight="1">
      <x:c r="A5" s="2" t="s">
        <x:v>241</x:v>
      </x:c>
      <x:c r="B5" s="2" t="s">
        <x:v>242</x:v>
      </x:c>
      <x:c r="C5" s="2" t="s">
        <x:v>243</x:v>
      </x:c>
      <x:c r="D5" s="2" t="s">
        <x:v>244</x:v>
      </x:c>
    </x:row>
    <x:row r="6" ht="92.44999694824219" customHeight="1">
      <x:c r="A6" s="2" t="s">
        <x:v>37</x:v>
      </x:c>
      <x:c r="B6" s="2" t="s">
        <x:v>245</x:v>
      </x:c>
      <x:c r="C6" s="2" t="s">
        <x:v>246</x:v>
      </x:c>
      <x:c r="D6" s="2" t="s">
        <x:v>247</x:v>
      </x:c>
    </x:row>
    <x:row r="7" ht="92.44999694824219" customHeight="1">
      <x:c r="A7" s="2" t="s">
        <x:v>50</x:v>
      </x:c>
      <x:c r="B7" s="2" t="s">
        <x:v>248</x:v>
      </x:c>
      <x:c r="C7" s="2" t="s">
        <x:v>249</x:v>
      </x:c>
      <x:c r="D7" s="2" t="s">
        <x:v>250</x:v>
      </x:c>
    </x:row>
    <x:row r="8" ht="79.25" customHeight="1">
      <x:c r="A8" s="2" t="s">
        <x:v>251</x:v>
      </x:c>
      <x:c r="B8" s="2" t="s">
        <x:v>252</x:v>
      </x:c>
      <x:c r="C8" s="2" t="s">
        <x:v>253</x:v>
      </x:c>
      <x:c r="D8" s="2" t="s">
        <x:v>254</x:v>
      </x:c>
    </x:row>
    <x:row r="9" ht="92.44999694824219" customHeight="1">
      <x:c r="A9" s="2" t="s">
        <x:v>255</x:v>
      </x:c>
      <x:c r="B9" s="2" t="s">
        <x:v>256</x:v>
      </x:c>
      <x:c r="C9" s="2" t="s">
        <x:v>257</x:v>
      </x:c>
      <x:c r="D9" s="2" t="s">
        <x:v>258</x:v>
      </x:c>
    </x:row>
    <x:row r="10" ht="343.25" customHeight="1">
      <x:c r="A10" s="2" t="s">
        <x:v>259</x:v>
      </x:c>
      <x:c r="B10" s="2" t="s">
        <x:v>260</x:v>
      </x:c>
      <x:c r="C10" s="2" t="s">
        <x:v>261</x:v>
      </x:c>
      <x:c r="D10" s="2" t="s">
        <x:v>262</x:v>
      </x:c>
    </x:row>
    <x:row r="11" ht="92.44999694824219" customHeight="1">
      <x:c r="A11" s="2" t="s">
        <x:v>263</x:v>
      </x:c>
      <x:c r="B11" s="2" t="s">
        <x:v>264</x:v>
      </x:c>
      <x:c r="C11" s="2" t="s">
        <x:v>265</x:v>
      </x:c>
      <x:c r="D11" s="2" t="s">
        <x:v>266</x:v>
      </x:c>
    </x:row>
    <x:row r="12" ht="118.80000305175781" customHeight="1">
      <x:c r="A12" s="2" t="s">
        <x:v>267</x:v>
      </x:c>
      <x:c r="B12" s="2" t="s">
        <x:v>268</x:v>
      </x:c>
      <x:c r="C12" s="2" t="s">
        <x:v>269</x:v>
      </x:c>
      <x:c r="D12" s="2" t="s">
        <x:v>270</x:v>
      </x:c>
    </x:row>
    <x:row r="13" ht="105.5999984741211" customHeight="1">
      <x:c r="A13" s="2" t="s">
        <x:v>271</x:v>
      </x:c>
      <x:c r="B13" s="2" t="s">
        <x:v>272</x:v>
      </x:c>
      <x:c r="C13" s="2" t="s">
        <x:v>273</x:v>
      </x:c>
      <x:c r="D13" s="2" t="s">
        <x:v>274</x:v>
      </x:c>
    </x:row>
    <x:row r="14" ht="105.5999984741211" customHeight="1">
      <x:c r="A14" s="2" t="s">
        <x:v>275</x:v>
      </x:c>
      <x:c r="B14" s="2" t="s">
        <x:v>276</x:v>
      </x:c>
      <x:c r="C14" s="2" t="s">
        <x:v>277</x:v>
      </x:c>
      <x:c r="D14" s="2" t="s">
        <x:v>278</x:v>
      </x:c>
    </x:row>
    <x:row r="15" ht="118.80000305175781" customHeight="1">
      <x:c r="A15" s="2" t="s">
        <x:v>279</x:v>
      </x:c>
      <x:c r="B15" s="2" t="s">
        <x:v>280</x:v>
      </x:c>
      <x:c r="C15" s="2" t="s">
        <x:v>281</x:v>
      </x:c>
      <x:c r="D15" s="2" t="s">
        <x:v>282</x:v>
      </x:c>
    </x:row>
    <x:row r="16" ht="132" customHeight="1">
      <x:c r="A16" s="2" t="s">
        <x:v>283</x:v>
      </x:c>
      <x:c r="B16" s="2" t="s">
        <x:v>284</x:v>
      </x:c>
      <x:c r="C16" s="2" t="s">
        <x:v>285</x:v>
      </x:c>
      <x:c r="D16" s="2" t="s">
        <x:v>286</x:v>
      </x:c>
    </x:row>
    <x:row r="17" ht="145.25" customHeight="1">
      <x:c r="A17" s="2" t="s">
        <x:v>287</x:v>
      </x:c>
      <x:c r="B17" s="2" t="s">
        <x:v>288</x:v>
      </x:c>
      <x:c r="C17" s="2" t="s">
        <x:v>289</x:v>
      </x:c>
      <x:c r="D17" s="2" t="s">
        <x:v>290</x:v>
      </x:c>
    </x:row>
  </x:sheetData>
  <x:pageMargins left="0.7" right="0.7" top="0.75" bottom="0.75" header="0.3" footer="0.3"/>
  <x:tableParts count="1">
    <x:tablePart xmlns:r="http://schemas.openxmlformats.org/officeDocument/2006/relationships" r:id="Ra58b62c8564c40a8"/>
  </x:tableParts>
</x:worksheet>
</file>

<file path=xl/worksheets/sheet7.xml><?xml version="1.0" encoding="utf-8"?>
<x:worksheet xmlns:x="http://schemas.openxmlformats.org/spreadsheetml/2006/main">
  <x:sheetFormatPr defaultColWidth="9" defaultRowHeight="13.5"/>
  <x:cols>
    <x:col min="1" max="1" width="7" customWidth="1"/>
    <x:col min="2" max="2" width="34" customWidth="1"/>
    <x:col min="3" max="4" width="24" customWidth="1"/>
    <x:col min="5" max="5" width="34" customWidth="1"/>
    <x:col min="6" max="6" width="48" customWidth="1"/>
  </x:cols>
  <x:sheetData>
    <x:row r="1" ht="26.450000762939453" customHeight="1">
      <x:c r="A1" s="1" t="s">
        <x:v>146</x:v>
      </x:c>
      <x:c r="B1" s="1" t="s">
        <x:v>291</x:v>
      </x:c>
      <x:c r="C1" s="1" t="s">
        <x:v>292</x:v>
      </x:c>
      <x:c r="D1" s="1" t="s">
        <x:v>293</x:v>
      </x:c>
      <x:c r="E1" s="1" t="s">
        <x:v>294</x:v>
      </x:c>
      <x:c r="F1" s="1" t="s">
        <x:v>295</x:v>
      </x:c>
    </x:row>
    <x:row r="2" ht="66" customHeight="1">
      <x:c r="A2" s="2">
        <x:v>1</x:v>
      </x:c>
      <x:c r="B2" s="21" t="s">
        <x:v>37</x:v>
      </x:c>
      <x:c r="C2" s="12" t="s">
        <x:v>296</x:v>
      </x:c>
      <x:c r="D2" s="2" t="s">
        <x:v>297</x:v>
      </x:c>
      <x:c r="E2" s="23" t="s">
        <x:v>298</x:v>
      </x:c>
      <x:c r="F2" s="23" t="s">
        <x:v>299</x:v>
      </x:c>
    </x:row>
    <x:row r="3" ht="52.79999923706055" customHeight="1">
      <x:c r="A3" s="2">
        <x:v>2</x:v>
      </x:c>
      <x:c r="B3" s="22" t="s">
        <x:v>50</x:v>
      </x:c>
      <x:c r="C3" s="12" t="s">
        <x:v>296</x:v>
      </x:c>
      <x:c r="D3" s="2" t="s">
        <x:v>297</x:v>
      </x:c>
      <x:c r="E3" s="12" t="s">
        <x:v>300</x:v>
      </x:c>
      <x:c r="F3" s="12" t="s">
        <x:v>301</x:v>
      </x:c>
    </x:row>
    <x:row r="4" ht="79.25" customHeight="1">
      <x:c r="A4" s="2">
        <x:v>3</x:v>
      </x:c>
      <x:c r="B4" s="22" t="s">
        <x:v>205</x:v>
      </x:c>
      <x:c r="C4" s="12" t="s">
        <x:v>296</x:v>
      </x:c>
      <x:c r="D4" s="2" t="s">
        <x:v>297</x:v>
      </x:c>
      <x:c r="E4" s="12" t="s">
        <x:v>302</x:v>
      </x:c>
      <x:c r="F4" s="12" t="s">
        <x:v>303</x:v>
      </x:c>
    </x:row>
    <x:row r="5" ht="66" customHeight="1">
      <x:c r="A5" s="2"/>
      <x:c r="B5" s="2"/>
      <x:c r="C5" s="2"/>
      <x:c r="D5" s="12"/>
      <x:c r="E5" s="2"/>
      <x:c r="F5" s="2"/>
    </x:row>
    <x:row r="6" ht="66" customHeight="1">
      <x:c r="A6" s="2"/>
      <x:c r="B6" s="2"/>
      <x:c r="C6" s="2"/>
      <x:c r="D6" s="2"/>
      <x:c r="E6" s="2"/>
      <x:c r="F6" s="2"/>
    </x:row>
    <x:row r="7" ht="79.25" customHeight="1">
      <x:c r="A7" s="2"/>
      <x:c r="B7" s="2"/>
      <x:c r="C7" s="2"/>
      <x:c r="D7" s="2"/>
      <x:c r="E7" s="2"/>
      <x:c r="F7" s="2"/>
    </x:row>
    <x:row r="8" ht="66" customHeight="1">
      <x:c r="A8" s="2"/>
      <x:c r="B8" s="2"/>
      <x:c r="C8" s="2"/>
      <x:c r="D8" s="2"/>
      <x:c r="E8" s="2"/>
      <x:c r="F8" s="2"/>
    </x:row>
    <x:row r="9" ht="52.79999923706055" customHeight="1">
      <x:c r="A9" s="2"/>
      <x:c r="B9" s="2"/>
      <x:c r="C9" s="2"/>
      <x:c r="D9" s="2"/>
      <x:c r="E9" s="2"/>
      <x:c r="F9" s="2"/>
    </x:row>
    <x:row r="10" ht="66" customHeight="1">
      <x:c r="A10" s="2"/>
      <x:c r="B10" s="2"/>
      <x:c r="C10" s="2"/>
      <x:c r="D10" s="2"/>
      <x:c r="E10" s="2"/>
      <x:c r="F10" s="2"/>
    </x:row>
    <x:row r="11" ht="79.25" customHeight="1">
      <x:c r="A11" s="2"/>
      <x:c r="B11" s="2"/>
      <x:c r="C11" s="2"/>
      <x:c r="D11" s="2"/>
      <x:c r="E11" s="2"/>
      <x:c r="F11" s="2"/>
    </x:row>
    <x:row r="12" ht="52.79999923706055" customHeight="1">
      <x:c r="A12" s="2"/>
      <x:c r="B12" s="2"/>
      <x:c r="C12" s="2"/>
      <x:c r="D12" s="2"/>
      <x:c r="E12" s="2"/>
      <x:c r="F12" s="2"/>
    </x:row>
    <x:row r="13" ht="52.79999923706055" customHeight="1">
      <x:c r="A13" s="2"/>
      <x:c r="B13" s="2"/>
      <x:c r="C13" s="2"/>
      <x:c r="D13" s="2"/>
      <x:c r="E13" s="2"/>
      <x:c r="F13" s="2"/>
    </x:row>
    <x:row r="14" ht="52.79999923706055" customHeight="1">
      <x:c r="A14" s="2"/>
      <x:c r="B14" s="2"/>
      <x:c r="C14" s="2"/>
      <x:c r="D14" s="2"/>
      <x:c r="E14" s="2"/>
      <x:c r="F14" s="2"/>
    </x:row>
    <x:row r="15" ht="52.79999923706055" customHeight="1">
      <x:c r="A15" s="2"/>
      <x:c r="B15" s="2"/>
      <x:c r="C15" s="2"/>
      <x:c r="D15" s="2"/>
      <x:c r="E15" s="2"/>
      <x:c r="F15" s="2"/>
    </x:row>
    <x:row r="16" ht="52.79999923706055" customHeight="1">
      <x:c r="A16" s="2"/>
      <x:c r="B16" s="2"/>
      <x:c r="C16" s="2"/>
      <x:c r="D16" s="2"/>
      <x:c r="E16" s="2"/>
      <x:c r="F16" s="2"/>
    </x:row>
    <x:row r="17" ht="52.79999923706055" customHeight="1">
      <x:c r="A17" s="2"/>
      <x:c r="B17" s="2"/>
      <x:c r="C17" s="2"/>
      <x:c r="D17" s="2"/>
      <x:c r="E17" s="2"/>
      <x:c r="F17" s="2"/>
    </x:row>
    <x:row r="18" ht="39.599998474121094" customHeight="1">
      <x:c r="A18" s="2"/>
      <x:c r="B18" s="2"/>
      <x:c r="C18" s="2"/>
      <x:c r="D18" s="2"/>
      <x:c r="E18" s="2"/>
      <x:c r="F18" s="2"/>
    </x:row>
    <x:row r="19" ht="39.599998474121094" customHeight="1">
      <x:c r="A19" s="2"/>
      <x:c r="B19" s="2"/>
      <x:c r="C19" s="2"/>
      <x:c r="D19" s="2"/>
      <x:c r="E19" s="2"/>
      <x:c r="F19" s="2"/>
    </x:row>
    <x:row r="20" ht="39.599998474121094" customHeight="1">
      <x:c r="A20" s="2"/>
      <x:c r="B20" s="2"/>
      <x:c r="C20" s="2"/>
      <x:c r="D20" s="2"/>
      <x:c r="E20" s="2"/>
      <x:c r="F20" s="2"/>
    </x:row>
    <x:row r="21" ht="52.79999923706055" customHeight="1">
      <x:c r="A21" s="2"/>
      <x:c r="B21" s="2"/>
      <x:c r="C21" s="2"/>
      <x:c r="D21" s="2"/>
      <x:c r="E21" s="2"/>
      <x:c r="F21" s="2"/>
    </x:row>
    <x:row r="22" ht="52.79999923706055" customHeight="1">
      <x:c r="A22" s="2"/>
      <x:c r="B22" s="2"/>
      <x:c r="C22" s="2"/>
      <x:c r="D22" s="2"/>
      <x:c r="E22" s="2"/>
      <x:c r="F22" s="2"/>
    </x:row>
    <x:row r="23" ht="39.599998474121094" customHeight="1">
      <x:c r="A23" s="2"/>
      <x:c r="B23" s="2"/>
      <x:c r="C23" s="2"/>
      <x:c r="D23" s="2"/>
      <x:c r="E23" s="2"/>
      <x:c r="F23" s="2"/>
    </x:row>
    <x:row r="24" ht="52.79999923706055" customHeight="1">
      <x:c r="A24" s="2"/>
      <x:c r="B24" s="2"/>
      <x:c r="C24" s="2"/>
      <x:c r="D24" s="2"/>
      <x:c r="E24" s="2"/>
      <x:c r="F24" s="2"/>
    </x:row>
    <x:row r="25" ht="39.599998474121094" customHeight="1">
      <x:c r="A25" s="2"/>
      <x:c r="B25" s="2"/>
      <x:c r="C25" s="2"/>
      <x:c r="D25" s="2"/>
      <x:c r="E25" s="2"/>
      <x:c r="F25" s="2"/>
    </x:row>
    <x:row r="26" ht="66" customHeight="1">
      <x:c r="A26" s="2"/>
      <x:c r="B26" s="2"/>
      <x:c r="C26" s="2"/>
      <x:c r="D26" s="2"/>
      <x:c r="E26" s="2"/>
      <x:c r="F26" s="2"/>
    </x:row>
    <x:row r="27" ht="79.25" customHeight="1">
      <x:c r="A27" s="2"/>
      <x:c r="B27" s="2"/>
      <x:c r="C27" s="2"/>
      <x:c r="D27" s="2"/>
      <x:c r="E27" s="2"/>
      <x:c r="F27" s="2"/>
    </x:row>
  </x:sheetData>
  <x:pageMargins left="0.7" right="0.7" top="0.75" bottom="0.75" header="0.3" footer="0.3"/>
  <x:tableParts count="1">
    <x:tablePart xmlns:r="http://schemas.openxmlformats.org/officeDocument/2006/relationships" r:id="Re5987aeccc664401"/>
  </x:tableParts>
</x:worksheet>
</file>

<file path=xl/worksheets/sheet8.xml><?xml version="1.0" encoding="utf-8"?>
<x:worksheet xmlns:x="http://schemas.openxmlformats.org/spreadsheetml/2006/main">
  <x:sheetFormatPr defaultColWidth="9" defaultRowHeight="13.5"/>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450000762939453" customHeight="1">
      <x:c r="A1" s="78" t="s">
        <x:v>146</x:v>
      </x:c>
      <x:c r="B1" s="78" t="s">
        <x:v>12</x:v>
      </x:c>
      <x:c r="C1" s="78" t="s">
        <x:v>13</x:v>
      </x:c>
      <x:c r="D1" s="78" t="s">
        <x:v>14</x:v>
      </x:c>
      <x:c r="E1" s="78" t="s">
        <x:v>15</x:v>
      </x:c>
      <x:c r="F1" s="78" t="s">
        <x:v>16</x:v>
      </x:c>
      <x:c r="G1" s="78" t="s">
        <x:v>17</x:v>
      </x:c>
      <x:c r="H1" s="78" t="s">
        <x:v>18</x:v>
      </x:c>
      <x:c r="I1" s="78" t="s">
        <x:v>19</x:v>
      </x:c>
      <x:c r="J1" s="78" t="s">
        <x:v>20</x:v>
      </x:c>
      <x:c r="K1" s="78" t="s">
        <x:v>21</x:v>
      </x:c>
      <x:c r="L1" s="78" t="s">
        <x:v>22</x:v>
      </x:c>
      <x:c r="M1" s="78" t="s">
        <x:v>23</x:v>
      </x:c>
      <x:c r="N1" s="78" t="s">
        <x:v>24</x:v>
      </x:c>
      <x:c r="O1" s="78" t="s">
        <x:v>25</x:v>
      </x:c>
      <x:c r="P1" s="78" t="s">
        <x:v>26</x:v>
      </x:c>
      <x:c r="Q1" s="78" t="s">
        <x:v>27</x:v>
      </x:c>
      <x:c r="R1" s="78" t="s">
        <x:v>28</x:v>
      </x:c>
      <x:c r="S1" s="78" t="s">
        <x:v>29</x:v>
      </x:c>
      <x:c r="T1" s="78" t="s">
        <x:v>30</x:v>
      </x:c>
      <x:c r="U1" s="78" t="s">
        <x:v>31</x:v>
      </x:c>
      <x:c r="V1" s="78" t="s">
        <x:v>32</x:v>
      </x:c>
      <x:c r="W1" s="78" t="s">
        <x:v>33</x:v>
      </x:c>
      <x:c r="X1" s="78" t="s">
        <x:v>34</x:v>
      </x:c>
      <x:c r="Y1" s="78" t="s">
        <x:v>35</x:v>
      </x:c>
    </x:row>
    <x:row r="2" ht="132" customHeight="1">
      <x:c r="A2" s="79">
        <x:v>1</x:v>
      </x:c>
      <x:c r="B2" s="80">
        <x:v>46218</x:v>
      </x:c>
      <x:c r="C2" s="79" t="s">
        <x:v>36</x:v>
      </x:c>
      <x:c r="D2" s="79" t="s">
        <x:v>37</x:v>
      </x:c>
      <x:c r="E2" s="79" t="s">
        <x:v>38</x:v>
      </x:c>
      <x:c r="F2" s="79" t="s">
        <x:v>304</x:v>
      </x:c>
      <x:c r="G2" s="79" t="s">
        <x:v>39</x:v>
      </x:c>
      <x:c r="H2" s="79" t="s">
        <x:v>39</x:v>
      </x:c>
      <x:c r="I2" s="79" t="s">
        <x:v>40</x:v>
      </x:c>
      <x:c r="J2" s="79" t="s">
        <x:v>41</x:v>
      </x:c>
      <x:c r="K2" s="79" t="s">
        <x:v>215</x:v>
      </x:c>
      <x:c r="L2" s="79" t="s">
        <x:v>305</x:v>
      </x:c>
      <x:c r="M2" s="79" t="s">
        <x:v>306</x:v>
      </x:c>
      <x:c r="N2" s="92" t="s">
        <x:v>216</x:v>
      </x:c>
      <x:c r="O2" s="79" t="s">
        <x:v>44</x:v>
      </x:c>
      <x:c r="P2" s="79" t="s">
        <x:v>307</x:v>
      </x:c>
      <x:c r="Q2" s="79" t="s">
        <x:v>308</x:v>
      </x:c>
      <x:c r="R2" s="79" t="s">
        <x:v>46</x:v>
      </x:c>
      <x:c r="S2" s="79" t="s">
        <x:v>46</x:v>
      </x:c>
      <x:c r="T2" s="79" t="s">
        <x:v>46</x:v>
      </x:c>
      <x:c r="U2" s="79" t="s">
        <x:v>47</x:v>
      </x:c>
      <x:c r="V2" s="79" t="s">
        <x:v>47</x:v>
      </x:c>
      <x:c r="W2" s="79" t="s">
        <x:v>309</x:v>
      </x:c>
      <x:c r="X2" s="79" t="s">
        <x:v>41</x:v>
      </x:c>
      <x:c r="Y2" s="79" t="str">
        <x:v>否</x:v>
      </x:c>
    </x:row>
    <x:row r="3" ht="69.4000015258789">
      <x:c r="A3" s="79">
        <x:v>2</x:v>
      </x:c>
      <x:c r="B3" s="80">
        <x:v>46218</x:v>
      </x:c>
      <x:c r="C3" s="79" t="s">
        <x:v>36</x:v>
      </x:c>
      <x:c r="D3" s="79" t="s">
        <x:v>37</x:v>
      </x:c>
      <x:c r="E3" s="79" t="s">
        <x:v>38</x:v>
      </x:c>
      <x:c r="F3" s="79" t="s">
        <x:v>304</x:v>
      </x:c>
      <x:c r="G3" s="79" t="s">
        <x:v>39</x:v>
      </x:c>
      <x:c r="H3" s="79" t="s">
        <x:v>39</x:v>
      </x:c>
      <x:c r="I3" s="79" t="s">
        <x:v>40</x:v>
      </x:c>
      <x:c r="J3" s="79" t="s">
        <x:v>41</x:v>
      </x:c>
      <x:c r="K3" s="79" t="s">
        <x:v>151</x:v>
      </x:c>
      <x:c r="L3" s="79" t="s">
        <x:v>310</x:v>
      </x:c>
      <x:c r="M3" s="79" t="s">
        <x:v>311</x:v>
      </x:c>
      <x:c r="N3" s="92" t="s">
        <x:v>152</x:v>
      </x:c>
      <x:c r="O3" s="79" t="s">
        <x:v>44</x:v>
      </x:c>
      <x:c r="P3" s="79" t="s">
        <x:v>307</x:v>
      </x:c>
      <x:c r="Q3" s="79" t="s">
        <x:v>308</x:v>
      </x:c>
      <x:c r="R3" s="79" t="s">
        <x:v>46</x:v>
      </x:c>
      <x:c r="S3" s="79" t="s">
        <x:v>46</x:v>
      </x:c>
      <x:c r="T3" s="79" t="s">
        <x:v>46</x:v>
      </x:c>
      <x:c r="U3" s="79" t="s">
        <x:v>47</x:v>
      </x:c>
      <x:c r="V3" s="79" t="s">
        <x:v>47</x:v>
      </x:c>
      <x:c r="W3" s="79" t="s">
        <x:v>309</x:v>
      </x:c>
      <x:c r="X3" s="79" t="s">
        <x:v>41</x:v>
      </x:c>
      <x:c r="Y3" s="79" t="str">
        <x:v>否</x:v>
      </x:c>
    </x:row>
    <x:row r="4" ht="145.25" customHeight="1">
      <x:c r="A4" s="79">
        <x:v>3</x:v>
      </x:c>
      <x:c r="B4" s="80">
        <x:v>46218</x:v>
      </x:c>
      <x:c r="C4" s="79" t="s">
        <x:v>36</x:v>
      </x:c>
      <x:c r="D4" s="79" t="s">
        <x:v>37</x:v>
      </x:c>
      <x:c r="E4" s="79" t="s">
        <x:v>38</x:v>
      </x:c>
      <x:c r="F4" s="79" t="s">
        <x:v>304</x:v>
      </x:c>
      <x:c r="G4" s="79" t="s">
        <x:v>39</x:v>
      </x:c>
      <x:c r="H4" s="79" t="s">
        <x:v>39</x:v>
      </x:c>
      <x:c r="I4" s="79" t="s">
        <x:v>40</x:v>
      </x:c>
      <x:c r="J4" s="79" t="s">
        <x:v>41</x:v>
      </x:c>
      <x:c r="K4" s="79" t="s">
        <x:v>155</x:v>
      </x:c>
      <x:c r="L4" s="79" t="s">
        <x:v>312</x:v>
      </x:c>
      <x:c r="M4" s="79" t="s">
        <x:v>313</x:v>
      </x:c>
      <x:c r="N4" s="92" t="s">
        <x:v>156</x:v>
      </x:c>
      <x:c r="O4" s="79" t="s">
        <x:v>44</x:v>
      </x:c>
      <x:c r="P4" s="79" t="s">
        <x:v>307</x:v>
      </x:c>
      <x:c r="Q4" s="79" t="s">
        <x:v>308</x:v>
      </x:c>
      <x:c r="R4" s="79" t="s">
        <x:v>46</x:v>
      </x:c>
      <x:c r="S4" s="79" t="s">
        <x:v>46</x:v>
      </x:c>
      <x:c r="T4" s="79" t="s">
        <x:v>46</x:v>
      </x:c>
      <x:c r="U4" s="79" t="s">
        <x:v>47</x:v>
      </x:c>
      <x:c r="V4" s="79" t="s">
        <x:v>47</x:v>
      </x:c>
      <x:c r="W4" s="79" t="s">
        <x:v>309</x:v>
      </x:c>
      <x:c r="X4" s="79" t="s">
        <x:v>41</x:v>
      </x:c>
      <x:c r="Y4" s="79" t="str">
        <x:v>否</x:v>
      </x:c>
    </x:row>
    <x:row r="5" ht="145.25" customHeight="1">
      <x:c r="A5" s="79">
        <x:v>4</x:v>
      </x:c>
      <x:c r="B5" s="80">
        <x:v>46218</x:v>
      </x:c>
      <x:c r="C5" s="79" t="s">
        <x:v>36</x:v>
      </x:c>
      <x:c r="D5" s="79" t="s">
        <x:v>37</x:v>
      </x:c>
      <x:c r="E5" s="79" t="s">
        <x:v>38</x:v>
      </x:c>
      <x:c r="F5" s="79" t="s">
        <x:v>304</x:v>
      </x:c>
      <x:c r="G5" s="79" t="s">
        <x:v>39</x:v>
      </x:c>
      <x:c r="H5" s="79" t="s">
        <x:v>39</x:v>
      </x:c>
      <x:c r="I5" s="79" t="s">
        <x:v>40</x:v>
      </x:c>
      <x:c r="J5" s="79" t="s">
        <x:v>41</x:v>
      </x:c>
      <x:c r="K5" s="79" t="s">
        <x:v>219</x:v>
      </x:c>
      <x:c r="L5" s="79" t="s">
        <x:v>314</x:v>
      </x:c>
      <x:c r="M5" s="79" t="s">
        <x:v>315</x:v>
      </x:c>
      <x:c r="N5" s="92" t="s">
        <x:v>220</x:v>
      </x:c>
      <x:c r="O5" s="79" t="s">
        <x:v>44</x:v>
      </x:c>
      <x:c r="P5" s="79" t="s">
        <x:v>307</x:v>
      </x:c>
      <x:c r="Q5" s="79" t="s">
        <x:v>308</x:v>
      </x:c>
      <x:c r="R5" s="79" t="s">
        <x:v>46</x:v>
      </x:c>
      <x:c r="S5" s="79" t="s">
        <x:v>46</x:v>
      </x:c>
      <x:c r="T5" s="79" t="s">
        <x:v>46</x:v>
      </x:c>
      <x:c r="U5" s="79" t="s">
        <x:v>47</x:v>
      </x:c>
      <x:c r="V5" s="79" t="s">
        <x:v>47</x:v>
      </x:c>
      <x:c r="W5" s="79" t="s">
        <x:v>309</x:v>
      </x:c>
      <x:c r="X5" s="79" t="s">
        <x:v>41</x:v>
      </x:c>
      <x:c r="Y5" s="79" t="str">
        <x:v>否</x:v>
      </x:c>
    </x:row>
    <x:row r="6" ht="132" customHeight="1">
      <x:c r="A6" s="79">
        <x:v>5</x:v>
      </x:c>
      <x:c r="B6" s="80">
        <x:v>46218</x:v>
      </x:c>
      <x:c r="C6" s="79" t="s">
        <x:v>36</x:v>
      </x:c>
      <x:c r="D6" s="79" t="s">
        <x:v>37</x:v>
      </x:c>
      <x:c r="E6" s="79" t="s">
        <x:v>38</x:v>
      </x:c>
      <x:c r="F6" s="79" t="str">
        <x:v>媒体评论/平台转载</x:v>
      </x:c>
      <x:c r="G6" s="79" t="s">
        <x:v>39</x:v>
      </x:c>
      <x:c r="H6" s="79" t="s">
        <x:v>39</x:v>
      </x:c>
      <x:c r="I6" s="79" t="s">
        <x:v>40</x:v>
      </x:c>
      <x:c r="J6" s="79" t="s">
        <x:v>41</x:v>
      </x:c>
      <x:c r="K6" s="79" t="s">
        <x:v>42</x:v>
      </x:c>
      <x:c r="L6" s="79" t="str">
        <x:v>文章标题明确涉及《民族团结进步促进法》的实施，但现有工作簿未保存知乎用户评论原话。</x:v>
      </x:c>
      <x:c r="M6" s="79" t="str">
        <x:v>与本法实施直接相关；但来源性质偏媒体评论，严格口径下不计公众意见。</x:v>
      </x:c>
      <x:c r="N6" s="92" t="s">
        <x:v>43</x:v>
      </x:c>
      <x:c r="O6" s="79" t="s">
        <x:v>44</x:v>
      </x:c>
      <x:c r="P6" s="79" t="str">
        <x:v>中性信息</x:v>
      </x:c>
      <x:c r="Q6" s="79" t="s">
        <x:v>45</x:v>
      </x:c>
      <x:c r="R6" s="79" t="s">
        <x:v>46</x:v>
      </x:c>
      <x:c r="S6" s="79" t="s">
        <x:v>46</x:v>
      </x:c>
      <x:c r="T6" s="79" t="s">
        <x:v>46</x:v>
      </x:c>
      <x:c r="U6" s="79" t="s">
        <x:v>47</x:v>
      </x:c>
      <x:c r="V6" s="79" t="s">
        <x:v>47</x:v>
      </x:c>
      <x:c r="W6" s="79" t="str">
        <x:v>最终复核：保留相关线索，公众统计=否。</x:v>
      </x:c>
      <x:c r="X6" s="79" t="s">
        <x:v>41</x:v>
      </x:c>
      <x:c r="Y6" s="79" t="str">
        <x:v>否</x:v>
      </x:c>
    </x:row>
    <x:row r="7" ht="118.80000305175781" customHeight="1">
      <x:c r="A7" s="79">
        <x:v>6</x:v>
      </x:c>
      <x:c r="B7" s="80">
        <x:v>46218</x:v>
      </x:c>
      <x:c r="C7" s="79" t="s">
        <x:v>36</x:v>
      </x:c>
      <x:c r="D7" s="79" t="s">
        <x:v>37</x:v>
      </x:c>
      <x:c r="E7" s="79" t="s">
        <x:v>38</x:v>
      </x:c>
      <x:c r="F7" s="79" t="s">
        <x:v>304</x:v>
      </x:c>
      <x:c r="G7" s="79" t="s">
        <x:v>39</x:v>
      </x:c>
      <x:c r="H7" s="79" t="s">
        <x:v>39</x:v>
      </x:c>
      <x:c r="I7" s="79" t="s">
        <x:v>40</x:v>
      </x:c>
      <x:c r="J7" s="79" t="s">
        <x:v>41</x:v>
      </x:c>
      <x:c r="K7" s="79" t="s">
        <x:v>157</x:v>
      </x:c>
      <x:c r="L7" s="79" t="s">
        <x:v>316</x:v>
      </x:c>
      <x:c r="M7" s="79" t="s">
        <x:v>317</x:v>
      </x:c>
      <x:c r="N7" s="92" t="s">
        <x:v>158</x:v>
      </x:c>
      <x:c r="O7" s="79" t="s">
        <x:v>44</x:v>
      </x:c>
      <x:c r="P7" s="79" t="s">
        <x:v>307</x:v>
      </x:c>
      <x:c r="Q7" s="79" t="s">
        <x:v>45</x:v>
      </x:c>
      <x:c r="R7" s="79" t="s">
        <x:v>46</x:v>
      </x:c>
      <x:c r="S7" s="79" t="s">
        <x:v>46</x:v>
      </x:c>
      <x:c r="T7" s="79" t="s">
        <x:v>46</x:v>
      </x:c>
      <x:c r="U7" s="79" t="s">
        <x:v>47</x:v>
      </x:c>
      <x:c r="V7" s="79" t="s">
        <x:v>47</x:v>
      </x:c>
      <x:c r="W7" s="79" t="s">
        <x:v>318</x:v>
      </x:c>
      <x:c r="X7" s="79" t="s">
        <x:v>41</x:v>
      </x:c>
      <x:c r="Y7" s="79" t="str">
        <x:v>否</x:v>
      </x:c>
    </x:row>
    <x:row r="8" ht="118.80000305175781" customHeight="1">
      <x:c r="A8" s="79">
        <x:v>7</x:v>
      </x:c>
      <x:c r="B8" s="80">
        <x:v>46218</x:v>
      </x:c>
      <x:c r="C8" s="79" t="s">
        <x:v>36</x:v>
      </x:c>
      <x:c r="D8" s="79" t="s">
        <x:v>37</x:v>
      </x:c>
      <x:c r="E8" s="79" t="s">
        <x:v>38</x:v>
      </x:c>
      <x:c r="F8" s="79" t="s">
        <x:v>304</x:v>
      </x:c>
      <x:c r="G8" s="79" t="s">
        <x:v>39</x:v>
      </x:c>
      <x:c r="H8" s="79" t="s">
        <x:v>39</x:v>
      </x:c>
      <x:c r="I8" s="79" t="s">
        <x:v>40</x:v>
      </x:c>
      <x:c r="J8" s="79" t="s">
        <x:v>41</x:v>
      </x:c>
      <x:c r="K8" s="79" t="s">
        <x:v>319</x:v>
      </x:c>
      <x:c r="L8" s="79" t="s">
        <x:v>320</x:v>
      </x:c>
      <x:c r="M8" s="79" t="s">
        <x:v>321</x:v>
      </x:c>
      <x:c r="N8" s="92" t="s">
        <x:v>160</x:v>
      </x:c>
      <x:c r="O8" s="79" t="s">
        <x:v>44</x:v>
      </x:c>
      <x:c r="P8" s="79" t="s">
        <x:v>307</x:v>
      </x:c>
      <x:c r="Q8" s="79" t="s">
        <x:v>45</x:v>
      </x:c>
      <x:c r="R8" s="79" t="s">
        <x:v>46</x:v>
      </x:c>
      <x:c r="S8" s="79" t="s">
        <x:v>46</x:v>
      </x:c>
      <x:c r="T8" s="79" t="s">
        <x:v>46</x:v>
      </x:c>
      <x:c r="U8" s="79" t="s">
        <x:v>47</x:v>
      </x:c>
      <x:c r="V8" s="79" t="s">
        <x:v>47</x:v>
      </x:c>
      <x:c r="W8" s="79" t="s">
        <x:v>318</x:v>
      </x:c>
      <x:c r="X8" s="79" t="s">
        <x:v>41</x:v>
      </x:c>
      <x:c r="Y8" s="79" t="str">
        <x:v>否</x:v>
      </x:c>
    </x:row>
    <x:row r="9" ht="105.5999984741211" customHeight="1">
      <x:c r="A9" s="79">
        <x:v>8</x:v>
      </x:c>
      <x:c r="B9" s="80">
        <x:v>46218</x:v>
      </x:c>
      <x:c r="C9" s="79" t="s">
        <x:v>36</x:v>
      </x:c>
      <x:c r="D9" s="79" t="s">
        <x:v>37</x:v>
      </x:c>
      <x:c r="E9" s="79" t="s">
        <x:v>38</x:v>
      </x:c>
      <x:c r="F9" s="79" t="s">
        <x:v>304</x:v>
      </x:c>
      <x:c r="G9" s="79" t="s">
        <x:v>39</x:v>
      </x:c>
      <x:c r="H9" s="79" t="s">
        <x:v>39</x:v>
      </x:c>
      <x:c r="I9" s="79" t="s">
        <x:v>40</x:v>
      </x:c>
      <x:c r="J9" s="79" t="s">
        <x:v>41</x:v>
      </x:c>
      <x:c r="K9" s="79" t="s">
        <x:v>162</x:v>
      </x:c>
      <x:c r="L9" s="79" t="s">
        <x:v>322</x:v>
      </x:c>
      <x:c r="M9" s="79" t="s">
        <x:v>323</x:v>
      </x:c>
      <x:c r="N9" s="92" t="s">
        <x:v>163</x:v>
      </x:c>
      <x:c r="O9" s="79" t="s">
        <x:v>44</x:v>
      </x:c>
      <x:c r="P9" s="79" t="s">
        <x:v>307</x:v>
      </x:c>
      <x:c r="Q9" s="79" t="s">
        <x:v>45</x:v>
      </x:c>
      <x:c r="R9" s="79" t="s">
        <x:v>46</x:v>
      </x:c>
      <x:c r="S9" s="79" t="s">
        <x:v>46</x:v>
      </x:c>
      <x:c r="T9" s="79" t="s">
        <x:v>46</x:v>
      </x:c>
      <x:c r="U9" s="79" t="s">
        <x:v>47</x:v>
      </x:c>
      <x:c r="V9" s="79" t="s">
        <x:v>47</x:v>
      </x:c>
      <x:c r="W9" s="79" t="s">
        <x:v>318</x:v>
      </x:c>
      <x:c r="X9" s="79" t="s">
        <x:v>41</x:v>
      </x:c>
      <x:c r="Y9" s="79" t="str">
        <x:v>否</x:v>
      </x:c>
    </x:row>
    <x:row r="10" ht="198" customHeight="1">
      <x:c r="A10" s="79">
        <x:v>9</x:v>
      </x:c>
      <x:c r="B10" s="80">
        <x:v>46218</x:v>
      </x:c>
      <x:c r="C10" s="79" t="s">
        <x:v>36</x:v>
      </x:c>
      <x:c r="D10" s="79" t="s">
        <x:v>37</x:v>
      </x:c>
      <x:c r="E10" s="79" t="s">
        <x:v>38</x:v>
      </x:c>
      <x:c r="F10" s="79" t="str">
        <x:v>自媒体/专栏（作者性质未记录）</x:v>
      </x:c>
      <x:c r="G10" s="79" t="s">
        <x:v>39</x:v>
      </x:c>
      <x:c r="H10" s="79" t="s">
        <x:v>39</x:v>
      </x:c>
      <x:c r="I10" s="79" t="s">
        <x:v>40</x:v>
      </x:c>
      <x:c r="J10" s="79" t="s">
        <x:v>41</x:v>
      </x:c>
      <x:c r="K10" s="79" t="s">
        <x:v>48</x:v>
      </x:c>
      <x:c r="L10" s="79" t="str">
        <x:v>文章标题明确涉及本法落地及国际舆论，但现有工作簿未保存作者身份或评论区公众原话。</x:v>
      </x:c>
      <x:c r="M10" s="79" t="str">
        <x:v>相关性明确；因公众意见证据链不足，严格口径下暂不计公众意见。</x:v>
      </x:c>
      <x:c r="N10" s="92" t="s">
        <x:v>49</x:v>
      </x:c>
      <x:c r="O10" s="79" t="s">
        <x:v>44</x:v>
      </x:c>
      <x:c r="P10" s="79" t="str">
        <x:v>中性信息</x:v>
      </x:c>
      <x:c r="Q10" s="79" t="s">
        <x:v>45</x:v>
      </x:c>
      <x:c r="R10" s="79" t="s">
        <x:v>46</x:v>
      </x:c>
      <x:c r="S10" s="79" t="s">
        <x:v>46</x:v>
      </x:c>
      <x:c r="T10" s="79" t="s">
        <x:v>46</x:v>
      </x:c>
      <x:c r="U10" s="79" t="s">
        <x:v>47</x:v>
      </x:c>
      <x:c r="V10" s="79" t="s">
        <x:v>47</x:v>
      </x:c>
      <x:c r="W10" s="79" t="str">
        <x:v>最终复核：保留相关线索，公众统计=否。</x:v>
      </x:c>
      <x:c r="X10" s="79" t="s">
        <x:v>41</x:v>
      </x:c>
      <x:c r="Y10" s="79" t="str">
        <x:v>否</x:v>
      </x:c>
    </x:row>
    <x:row r="11" ht="92.44999694824219" customHeight="1">
      <x:c r="A11" s="79">
        <x:v>10</x:v>
      </x:c>
      <x:c r="B11" s="80">
        <x:v>46218</x:v>
      </x:c>
      <x:c r="C11" s="79" t="s">
        <x:v>36</x:v>
      </x:c>
      <x:c r="D11" s="79" t="s">
        <x:v>37</x:v>
      </x:c>
      <x:c r="E11" s="79" t="s">
        <x:v>38</x:v>
      </x:c>
      <x:c r="F11" s="79" t="s">
        <x:v>304</x:v>
      </x:c>
      <x:c r="G11" s="79" t="s">
        <x:v>39</x:v>
      </x:c>
      <x:c r="H11" s="79" t="s">
        <x:v>39</x:v>
      </x:c>
      <x:c r="I11" s="79" t="s">
        <x:v>40</x:v>
      </x:c>
      <x:c r="J11" s="79" t="s">
        <x:v>41</x:v>
      </x:c>
      <x:c r="K11" s="79" t="s">
        <x:v>164</x:v>
      </x:c>
      <x:c r="L11" s="79" t="s">
        <x:v>324</x:v>
      </x:c>
      <x:c r="M11" s="79" t="s">
        <x:v>325</x:v>
      </x:c>
      <x:c r="N11" s="92" t="s">
        <x:v>165</x:v>
      </x:c>
      <x:c r="O11" s="79" t="s">
        <x:v>44</x:v>
      </x:c>
      <x:c r="P11" s="79" t="s">
        <x:v>307</x:v>
      </x:c>
      <x:c r="Q11" s="79" t="s">
        <x:v>45</x:v>
      </x:c>
      <x:c r="R11" s="79" t="s">
        <x:v>46</x:v>
      </x:c>
      <x:c r="S11" s="79" t="s">
        <x:v>46</x:v>
      </x:c>
      <x:c r="T11" s="79" t="s">
        <x:v>46</x:v>
      </x:c>
      <x:c r="U11" s="79" t="s">
        <x:v>47</x:v>
      </x:c>
      <x:c r="V11" s="79" t="s">
        <x:v>47</x:v>
      </x:c>
      <x:c r="W11" s="79" t="s">
        <x:v>318</x:v>
      </x:c>
      <x:c r="X11" s="79" t="s">
        <x:v>41</x:v>
      </x:c>
      <x:c r="Y11" s="79" t="str">
        <x:v>否</x:v>
      </x:c>
    </x:row>
    <x:row r="12" ht="92.44999694824219" customHeight="1">
      <x:c r="A12" s="79">
        <x:v>11</x:v>
      </x:c>
      <x:c r="B12" s="80">
        <x:v>46218</x:v>
      </x:c>
      <x:c r="C12" s="79" t="s">
        <x:v>36</x:v>
      </x:c>
      <x:c r="D12" s="79" t="s">
        <x:v>37</x:v>
      </x:c>
      <x:c r="E12" s="79" t="s">
        <x:v>38</x:v>
      </x:c>
      <x:c r="F12" s="79" t="s">
        <x:v>304</x:v>
      </x:c>
      <x:c r="G12" s="79" t="s">
        <x:v>39</x:v>
      </x:c>
      <x:c r="H12" s="79" t="s">
        <x:v>39</x:v>
      </x:c>
      <x:c r="I12" s="79" t="s">
        <x:v>40</x:v>
      </x:c>
      <x:c r="J12" s="79" t="s">
        <x:v>41</x:v>
      </x:c>
      <x:c r="K12" s="79" t="s">
        <x:v>166</x:v>
      </x:c>
      <x:c r="L12" s="79" t="s">
        <x:v>326</x:v>
      </x:c>
      <x:c r="M12" s="79" t="s">
        <x:v>327</x:v>
      </x:c>
      <x:c r="N12" s="92" t="s">
        <x:v>167</x:v>
      </x:c>
      <x:c r="O12" s="79" t="s">
        <x:v>44</x:v>
      </x:c>
      <x:c r="P12" s="79" t="s">
        <x:v>307</x:v>
      </x:c>
      <x:c r="Q12" s="79" t="s">
        <x:v>45</x:v>
      </x:c>
      <x:c r="R12" s="79" t="s">
        <x:v>46</x:v>
      </x:c>
      <x:c r="S12" s="79" t="s">
        <x:v>46</x:v>
      </x:c>
      <x:c r="T12" s="79" t="s">
        <x:v>46</x:v>
      </x:c>
      <x:c r="U12" s="79" t="s">
        <x:v>47</x:v>
      </x:c>
      <x:c r="V12" s="79" t="s">
        <x:v>47</x:v>
      </x:c>
      <x:c r="W12" s="79" t="s">
        <x:v>318</x:v>
      </x:c>
      <x:c r="X12" s="79" t="s">
        <x:v>41</x:v>
      </x:c>
      <x:c r="Y12" s="79" t="str">
        <x:v>否</x:v>
      </x:c>
    </x:row>
    <x:row r="13" ht="118.80000305175781" customHeight="1">
      <x:c r="A13" s="79">
        <x:v>12</x:v>
      </x:c>
      <x:c r="B13" s="80">
        <x:v>46218</x:v>
      </x:c>
      <x:c r="C13" s="79" t="s">
        <x:v>36</x:v>
      </x:c>
      <x:c r="D13" s="79" t="s">
        <x:v>37</x:v>
      </x:c>
      <x:c r="E13" s="79" t="s">
        <x:v>38</x:v>
      </x:c>
      <x:c r="F13" s="79" t="s">
        <x:v>304</x:v>
      </x:c>
      <x:c r="G13" s="79" t="s">
        <x:v>39</x:v>
      </x:c>
      <x:c r="H13" s="79" t="s">
        <x:v>39</x:v>
      </x:c>
      <x:c r="I13" s="79" t="s">
        <x:v>40</x:v>
      </x:c>
      <x:c r="J13" s="79" t="s">
        <x:v>41</x:v>
      </x:c>
      <x:c r="K13" s="79" t="s">
        <x:v>169</x:v>
      </x:c>
      <x:c r="L13" s="79" t="s">
        <x:v>328</x:v>
      </x:c>
      <x:c r="M13" s="79" t="s">
        <x:v>329</x:v>
      </x:c>
      <x:c r="N13" s="92" t="s">
        <x:v>170</x:v>
      </x:c>
      <x:c r="O13" s="79" t="s">
        <x:v>44</x:v>
      </x:c>
      <x:c r="P13" s="79" t="s">
        <x:v>307</x:v>
      </x:c>
      <x:c r="Q13" s="79" t="s">
        <x:v>45</x:v>
      </x:c>
      <x:c r="R13" s="79" t="s">
        <x:v>46</x:v>
      </x:c>
      <x:c r="S13" s="79" t="s">
        <x:v>46</x:v>
      </x:c>
      <x:c r="T13" s="79" t="s">
        <x:v>46</x:v>
      </x:c>
      <x:c r="U13" s="79" t="s">
        <x:v>47</x:v>
      </x:c>
      <x:c r="V13" s="79" t="s">
        <x:v>47</x:v>
      </x:c>
      <x:c r="W13" s="79" t="s">
        <x:v>318</x:v>
      </x:c>
      <x:c r="X13" s="79" t="s">
        <x:v>41</x:v>
      </x:c>
      <x:c r="Y13" s="79" t="str">
        <x:v>否</x:v>
      </x:c>
    </x:row>
    <x:row r="14" ht="132" customHeight="1">
      <x:c r="A14" s="79">
        <x:v>13</x:v>
      </x:c>
      <x:c r="B14" s="80">
        <x:v>46218</x:v>
      </x:c>
      <x:c r="C14" s="79" t="s">
        <x:v>36</x:v>
      </x:c>
      <x:c r="D14" s="79" t="s">
        <x:v>37</x:v>
      </x:c>
      <x:c r="E14" s="79" t="s">
        <x:v>38</x:v>
      </x:c>
      <x:c r="F14" s="79" t="s">
        <x:v>304</x:v>
      </x:c>
      <x:c r="G14" s="79" t="s">
        <x:v>39</x:v>
      </x:c>
      <x:c r="H14" s="79" t="s">
        <x:v>39</x:v>
      </x:c>
      <x:c r="I14" s="79" t="s">
        <x:v>40</x:v>
      </x:c>
      <x:c r="J14" s="79" t="s">
        <x:v>41</x:v>
      </x:c>
      <x:c r="K14" s="79" t="s">
        <x:v>173</x:v>
      </x:c>
      <x:c r="L14" s="79" t="s">
        <x:v>330</x:v>
      </x:c>
      <x:c r="M14" s="79" t="s">
        <x:v>331</x:v>
      </x:c>
      <x:c r="N14" s="92" t="s">
        <x:v>174</x:v>
      </x:c>
      <x:c r="O14" s="79" t="s">
        <x:v>44</x:v>
      </x:c>
      <x:c r="P14" s="79" t="s">
        <x:v>307</x:v>
      </x:c>
      <x:c r="Q14" s="79" t="s">
        <x:v>45</x:v>
      </x:c>
      <x:c r="R14" s="79" t="s">
        <x:v>46</x:v>
      </x:c>
      <x:c r="S14" s="79" t="s">
        <x:v>46</x:v>
      </x:c>
      <x:c r="T14" s="79" t="s">
        <x:v>46</x:v>
      </x:c>
      <x:c r="U14" s="79" t="s">
        <x:v>47</x:v>
      </x:c>
      <x:c r="V14" s="79" t="s">
        <x:v>47</x:v>
      </x:c>
      <x:c r="W14" s="79" t="s">
        <x:v>318</x:v>
      </x:c>
      <x:c r="X14" s="79" t="s">
        <x:v>41</x:v>
      </x:c>
      <x:c r="Y14" s="79" t="str">
        <x:v>否</x:v>
      </x:c>
    </x:row>
    <x:row r="15" ht="118.80000305175781" customHeight="1">
      <x:c r="A15" s="79">
        <x:v>14</x:v>
      </x:c>
      <x:c r="B15" s="80">
        <x:v>46218</x:v>
      </x:c>
      <x:c r="C15" s="79" t="s">
        <x:v>36</x:v>
      </x:c>
      <x:c r="D15" s="79" t="s">
        <x:v>37</x:v>
      </x:c>
      <x:c r="E15" s="79" t="s">
        <x:v>38</x:v>
      </x:c>
      <x:c r="F15" s="79" t="s">
        <x:v>304</x:v>
      </x:c>
      <x:c r="G15" s="79" t="s">
        <x:v>39</x:v>
      </x:c>
      <x:c r="H15" s="79" t="s">
        <x:v>39</x:v>
      </x:c>
      <x:c r="I15" s="79" t="s">
        <x:v>40</x:v>
      </x:c>
      <x:c r="J15" s="79" t="s">
        <x:v>41</x:v>
      </x:c>
      <x:c r="K15" s="79" t="s">
        <x:v>171</x:v>
      </x:c>
      <x:c r="L15" s="79" t="s">
        <x:v>332</x:v>
      </x:c>
      <x:c r="M15" s="79" t="s">
        <x:v>333</x:v>
      </x:c>
      <x:c r="N15" s="92" t="s">
        <x:v>172</x:v>
      </x:c>
      <x:c r="O15" s="79" t="s">
        <x:v>44</x:v>
      </x:c>
      <x:c r="P15" s="79" t="s">
        <x:v>307</x:v>
      </x:c>
      <x:c r="Q15" s="79" t="s">
        <x:v>45</x:v>
      </x:c>
      <x:c r="R15" s="79" t="s">
        <x:v>46</x:v>
      </x:c>
      <x:c r="S15" s="79" t="s">
        <x:v>46</x:v>
      </x:c>
      <x:c r="T15" s="79" t="s">
        <x:v>46</x:v>
      </x:c>
      <x:c r="U15" s="79" t="s">
        <x:v>47</x:v>
      </x:c>
      <x:c r="V15" s="79" t="s">
        <x:v>47</x:v>
      </x:c>
      <x:c r="W15" s="79" t="s">
        <x:v>318</x:v>
      </x:c>
      <x:c r="X15" s="79" t="s">
        <x:v>41</x:v>
      </x:c>
      <x:c r="Y15" s="79" t="str">
        <x:v>否</x:v>
      </x:c>
    </x:row>
    <x:row r="16" ht="118.80000305175781" customHeight="1">
      <x:c r="A16" s="79">
        <x:v>15</x:v>
      </x:c>
      <x:c r="B16" s="80">
        <x:v>46218</x:v>
      </x:c>
      <x:c r="C16" s="79" t="s">
        <x:v>36</x:v>
      </x:c>
      <x:c r="D16" s="79" t="s">
        <x:v>37</x:v>
      </x:c>
      <x:c r="E16" s="79" t="s">
        <x:v>38</x:v>
      </x:c>
      <x:c r="F16" s="79" t="s">
        <x:v>304</x:v>
      </x:c>
      <x:c r="G16" s="79" t="s">
        <x:v>39</x:v>
      </x:c>
      <x:c r="H16" s="79" t="s">
        <x:v>39</x:v>
      </x:c>
      <x:c r="I16" s="79" t="s">
        <x:v>40</x:v>
      </x:c>
      <x:c r="J16" s="79" t="s">
        <x:v>41</x:v>
      </x:c>
      <x:c r="K16" s="79" t="s">
        <x:v>176</x:v>
      </x:c>
      <x:c r="L16" s="79" t="s">
        <x:v>334</x:v>
      </x:c>
      <x:c r="M16" s="79" t="s">
        <x:v>335</x:v>
      </x:c>
      <x:c r="N16" s="92" t="s">
        <x:v>177</x:v>
      </x:c>
      <x:c r="O16" s="79" t="s">
        <x:v>44</x:v>
      </x:c>
      <x:c r="P16" s="79" t="s">
        <x:v>307</x:v>
      </x:c>
      <x:c r="Q16" s="79" t="s">
        <x:v>45</x:v>
      </x:c>
      <x:c r="R16" s="79" t="s">
        <x:v>46</x:v>
      </x:c>
      <x:c r="S16" s="79" t="s">
        <x:v>46</x:v>
      </x:c>
      <x:c r="T16" s="79" t="s">
        <x:v>46</x:v>
      </x:c>
      <x:c r="U16" s="79" t="s">
        <x:v>47</x:v>
      </x:c>
      <x:c r="V16" s="79" t="s">
        <x:v>47</x:v>
      </x:c>
      <x:c r="W16" s="79" t="s">
        <x:v>318</x:v>
      </x:c>
      <x:c r="X16" s="79" t="s">
        <x:v>41</x:v>
      </x:c>
      <x:c r="Y16" s="79" t="str">
        <x:v>否</x:v>
      </x:c>
    </x:row>
    <x:row r="17" ht="105.5999984741211" customHeight="1">
      <x:c r="A17" s="79">
        <x:v>16</x:v>
      </x:c>
      <x:c r="B17" s="80">
        <x:v>46218</x:v>
      </x:c>
      <x:c r="C17" s="79" t="s">
        <x:v>36</x:v>
      </x:c>
      <x:c r="D17" s="79" t="s">
        <x:v>37</x:v>
      </x:c>
      <x:c r="E17" s="79" t="s">
        <x:v>38</x:v>
      </x:c>
      <x:c r="F17" s="79" t="s">
        <x:v>304</x:v>
      </x:c>
      <x:c r="G17" s="79" t="s">
        <x:v>39</x:v>
      </x:c>
      <x:c r="H17" s="79" t="s">
        <x:v>39</x:v>
      </x:c>
      <x:c r="I17" s="79" t="s">
        <x:v>40</x:v>
      </x:c>
      <x:c r="J17" s="79" t="s">
        <x:v>41</x:v>
      </x:c>
      <x:c r="K17" s="79" t="s">
        <x:v>181</x:v>
      </x:c>
      <x:c r="L17" s="79" t="s">
        <x:v>336</x:v>
      </x:c>
      <x:c r="M17" s="79" t="s">
        <x:v>337</x:v>
      </x:c>
      <x:c r="N17" s="92" t="s">
        <x:v>182</x:v>
      </x:c>
      <x:c r="O17" s="79" t="s">
        <x:v>44</x:v>
      </x:c>
      <x:c r="P17" s="79" t="s">
        <x:v>307</x:v>
      </x:c>
      <x:c r="Q17" s="79" t="s">
        <x:v>45</x:v>
      </x:c>
      <x:c r="R17" s="79" t="s">
        <x:v>46</x:v>
      </x:c>
      <x:c r="S17" s="79" t="s">
        <x:v>46</x:v>
      </x:c>
      <x:c r="T17" s="79" t="s">
        <x:v>46</x:v>
      </x:c>
      <x:c r="U17" s="79" t="s">
        <x:v>47</x:v>
      </x:c>
      <x:c r="V17" s="79" t="s">
        <x:v>47</x:v>
      </x:c>
      <x:c r="W17" s="79" t="s">
        <x:v>318</x:v>
      </x:c>
      <x:c r="X17" s="79" t="s">
        <x:v>41</x:v>
      </x:c>
      <x:c r="Y17" s="79" t="str">
        <x:v>否</x:v>
      </x:c>
    </x:row>
    <x:row r="18" ht="118.80000305175781" customHeight="1">
      <x:c r="A18" s="79">
        <x:v>17</x:v>
      </x:c>
      <x:c r="B18" s="80">
        <x:v>46218</x:v>
      </x:c>
      <x:c r="C18" s="79" t="s">
        <x:v>36</x:v>
      </x:c>
      <x:c r="D18" s="79" t="s">
        <x:v>37</x:v>
      </x:c>
      <x:c r="E18" s="79" t="s">
        <x:v>38</x:v>
      </x:c>
      <x:c r="F18" s="79" t="s">
        <x:v>304</x:v>
      </x:c>
      <x:c r="G18" s="79" t="s">
        <x:v>39</x:v>
      </x:c>
      <x:c r="H18" s="79" t="s">
        <x:v>39</x:v>
      </x:c>
      <x:c r="I18" s="79" t="s">
        <x:v>40</x:v>
      </x:c>
      <x:c r="J18" s="79" t="s">
        <x:v>41</x:v>
      </x:c>
      <x:c r="K18" s="79" t="s">
        <x:v>178</x:v>
      </x:c>
      <x:c r="L18" s="79" t="s">
        <x:v>338</x:v>
      </x:c>
      <x:c r="M18" s="79" t="s">
        <x:v>339</x:v>
      </x:c>
      <x:c r="N18" s="92" t="s">
        <x:v>179</x:v>
      </x:c>
      <x:c r="O18" s="79" t="s">
        <x:v>44</x:v>
      </x:c>
      <x:c r="P18" s="79" t="s">
        <x:v>307</x:v>
      </x:c>
      <x:c r="Q18" s="79" t="s">
        <x:v>45</x:v>
      </x:c>
      <x:c r="R18" s="79" t="s">
        <x:v>46</x:v>
      </x:c>
      <x:c r="S18" s="79" t="s">
        <x:v>46</x:v>
      </x:c>
      <x:c r="T18" s="79" t="s">
        <x:v>46</x:v>
      </x:c>
      <x:c r="U18" s="79" t="s">
        <x:v>47</x:v>
      </x:c>
      <x:c r="V18" s="79" t="s">
        <x:v>47</x:v>
      </x:c>
      <x:c r="W18" s="79" t="s">
        <x:v>318</x:v>
      </x:c>
      <x:c r="X18" s="79" t="s">
        <x:v>41</x:v>
      </x:c>
      <x:c r="Y18" s="79" t="str">
        <x:v>否</x:v>
      </x:c>
    </x:row>
    <x:row r="19" ht="105.5999984741211" customHeight="1">
      <x:c r="A19" s="79">
        <x:v>18</x:v>
      </x:c>
      <x:c r="B19" s="80">
        <x:v>46218</x:v>
      </x:c>
      <x:c r="C19" s="79" t="s">
        <x:v>36</x:v>
      </x:c>
      <x:c r="D19" s="79" t="s">
        <x:v>37</x:v>
      </x:c>
      <x:c r="E19" s="79" t="s">
        <x:v>38</x:v>
      </x:c>
      <x:c r="F19" s="79" t="s">
        <x:v>304</x:v>
      </x:c>
      <x:c r="G19" s="79" t="s">
        <x:v>39</x:v>
      </x:c>
      <x:c r="H19" s="79" t="s">
        <x:v>39</x:v>
      </x:c>
      <x:c r="I19" s="79" t="s">
        <x:v>40</x:v>
      </x:c>
      <x:c r="J19" s="79" t="s">
        <x:v>41</x:v>
      </x:c>
      <x:c r="K19" s="79" t="s">
        <x:v>184</x:v>
      </x:c>
      <x:c r="L19" s="79" t="s">
        <x:v>340</x:v>
      </x:c>
      <x:c r="M19" s="79" t="s">
        <x:v>341</x:v>
      </x:c>
      <x:c r="N19" s="92" t="s">
        <x:v>185</x:v>
      </x:c>
      <x:c r="O19" s="79" t="s">
        <x:v>44</x:v>
      </x:c>
      <x:c r="P19" s="79" t="s">
        <x:v>307</x:v>
      </x:c>
      <x:c r="Q19" s="79" t="s">
        <x:v>45</x:v>
      </x:c>
      <x:c r="R19" s="79" t="s">
        <x:v>46</x:v>
      </x:c>
      <x:c r="S19" s="79" t="s">
        <x:v>46</x:v>
      </x:c>
      <x:c r="T19" s="79" t="s">
        <x:v>46</x:v>
      </x:c>
      <x:c r="U19" s="79" t="s">
        <x:v>47</x:v>
      </x:c>
      <x:c r="V19" s="79" t="s">
        <x:v>47</x:v>
      </x:c>
      <x:c r="W19" s="79" t="s">
        <x:v>318</x:v>
      </x:c>
      <x:c r="X19" s="79" t="s">
        <x:v>41</x:v>
      </x:c>
      <x:c r="Y19" s="79" t="str">
        <x:v>否</x:v>
      </x:c>
    </x:row>
    <x:row r="20" ht="118.80000305175781" customHeight="1">
      <x:c r="A20" s="79">
        <x:v>20</x:v>
      </x:c>
      <x:c r="B20" s="80">
        <x:v>46218</x:v>
      </x:c>
      <x:c r="C20" s="79" t="s">
        <x:v>36</x:v>
      </x:c>
      <x:c r="D20" s="79" t="s">
        <x:v>37</x:v>
      </x:c>
      <x:c r="E20" s="79" t="s">
        <x:v>38</x:v>
      </x:c>
      <x:c r="F20" s="79" t="s">
        <x:v>304</x:v>
      </x:c>
      <x:c r="G20" s="79" t="s">
        <x:v>39</x:v>
      </x:c>
      <x:c r="H20" s="79" t="s">
        <x:v>39</x:v>
      </x:c>
      <x:c r="I20" s="79" t="s">
        <x:v>40</x:v>
      </x:c>
      <x:c r="J20" s="79" t="s">
        <x:v>41</x:v>
      </x:c>
      <x:c r="K20" s="79" t="s">
        <x:v>187</x:v>
      </x:c>
      <x:c r="L20" s="79" t="s">
        <x:v>342</x:v>
      </x:c>
      <x:c r="M20" s="79" t="s">
        <x:v>343</x:v>
      </x:c>
      <x:c r="N20" s="92" t="s">
        <x:v>188</x:v>
      </x:c>
      <x:c r="O20" s="79" t="s">
        <x:v>44</x:v>
      </x:c>
      <x:c r="P20" s="79" t="s">
        <x:v>307</x:v>
      </x:c>
      <x:c r="Q20" s="79" t="s">
        <x:v>45</x:v>
      </x:c>
      <x:c r="R20" s="79" t="s">
        <x:v>46</x:v>
      </x:c>
      <x:c r="S20" s="79" t="s">
        <x:v>46</x:v>
      </x:c>
      <x:c r="T20" s="79" t="s">
        <x:v>46</x:v>
      </x:c>
      <x:c r="U20" s="79" t="s">
        <x:v>47</x:v>
      </x:c>
      <x:c r="V20" s="79" t="s">
        <x:v>47</x:v>
      </x:c>
      <x:c r="W20" s="79" t="s">
        <x:v>318</x:v>
      </x:c>
      <x:c r="X20" s="79" t="s">
        <x:v>41</x:v>
      </x:c>
      <x:c r="Y20" s="79" t="str">
        <x:v>否</x:v>
      </x:c>
    </x:row>
    <x:row r="21" ht="171.60000610351562" customHeight="1">
      <x:c r="A21" s="79">
        <x:v>21</x:v>
      </x:c>
      <x:c r="B21" s="80">
        <x:v>46218</x:v>
      </x:c>
      <x:c r="C21" s="79" t="s">
        <x:v>36</x:v>
      </x:c>
      <x:c r="D21" s="79" t="s">
        <x:v>37</x:v>
      </x:c>
      <x:c r="E21" s="79" t="s">
        <x:v>38</x:v>
      </x:c>
      <x:c r="F21" s="79" t="s">
        <x:v>304</x:v>
      </x:c>
      <x:c r="G21" s="79" t="s">
        <x:v>39</x:v>
      </x:c>
      <x:c r="H21" s="79" t="s">
        <x:v>39</x:v>
      </x:c>
      <x:c r="I21" s="79" t="s">
        <x:v>40</x:v>
      </x:c>
      <x:c r="J21" s="79" t="s">
        <x:v>41</x:v>
      </x:c>
      <x:c r="K21" s="79" t="s">
        <x:v>190</x:v>
      </x:c>
      <x:c r="L21" s="79" t="s">
        <x:v>344</x:v>
      </x:c>
      <x:c r="M21" s="79" t="s">
        <x:v>345</x:v>
      </x:c>
      <x:c r="N21" s="92" t="s">
        <x:v>191</x:v>
      </x:c>
      <x:c r="O21" s="79" t="s">
        <x:v>44</x:v>
      </x:c>
      <x:c r="P21" s="79" t="s">
        <x:v>307</x:v>
      </x:c>
      <x:c r="Q21" s="79" t="s">
        <x:v>45</x:v>
      </x:c>
      <x:c r="R21" s="79" t="s">
        <x:v>46</x:v>
      </x:c>
      <x:c r="S21" s="79" t="s">
        <x:v>46</x:v>
      </x:c>
      <x:c r="T21" s="79" t="s">
        <x:v>46</x:v>
      </x:c>
      <x:c r="U21" s="79" t="s">
        <x:v>47</x:v>
      </x:c>
      <x:c r="V21" s="79" t="s">
        <x:v>47</x:v>
      </x:c>
      <x:c r="W21" s="79" t="s">
        <x:v>318</x:v>
      </x:c>
      <x:c r="X21" s="79" t="s">
        <x:v>41</x:v>
      </x:c>
      <x:c r="Y21" s="79" t="str">
        <x:v>否</x:v>
      </x:c>
    </x:row>
    <x:row r="22" ht="132" customHeight="1">
      <x:c r="A22" s="79">
        <x:v>22</x:v>
      </x:c>
      <x:c r="B22" s="80">
        <x:v>46218</x:v>
      </x:c>
      <x:c r="C22" s="79" t="s">
        <x:v>36</x:v>
      </x:c>
      <x:c r="D22" s="79" t="s">
        <x:v>37</x:v>
      </x:c>
      <x:c r="E22" s="79" t="s">
        <x:v>38</x:v>
      </x:c>
      <x:c r="F22" s="79" t="s">
        <x:v>304</x:v>
      </x:c>
      <x:c r="G22" s="79" t="s">
        <x:v>39</x:v>
      </x:c>
      <x:c r="H22" s="79" t="s">
        <x:v>39</x:v>
      </x:c>
      <x:c r="I22" s="79" t="s">
        <x:v>40</x:v>
      </x:c>
      <x:c r="J22" s="79" t="s">
        <x:v>41</x:v>
      </x:c>
      <x:c r="K22" s="79" t="s">
        <x:v>192</x:v>
      </x:c>
      <x:c r="L22" s="79" t="s">
        <x:v>346</x:v>
      </x:c>
      <x:c r="M22" s="79" t="s">
        <x:v>347</x:v>
      </x:c>
      <x:c r="N22" s="92" t="s">
        <x:v>193</x:v>
      </x:c>
      <x:c r="O22" s="79" t="s">
        <x:v>44</x:v>
      </x:c>
      <x:c r="P22" s="79" t="s">
        <x:v>307</x:v>
      </x:c>
      <x:c r="Q22" s="79" t="s">
        <x:v>45</x:v>
      </x:c>
      <x:c r="R22" s="79" t="s">
        <x:v>46</x:v>
      </x:c>
      <x:c r="S22" s="79" t="s">
        <x:v>46</x:v>
      </x:c>
      <x:c r="T22" s="79" t="s">
        <x:v>46</x:v>
      </x:c>
      <x:c r="U22" s="79" t="s">
        <x:v>47</x:v>
      </x:c>
      <x:c r="V22" s="79" t="s">
        <x:v>47</x:v>
      </x:c>
      <x:c r="W22" s="79" t="s">
        <x:v>318</x:v>
      </x:c>
      <x:c r="X22" s="79" t="s">
        <x:v>41</x:v>
      </x:c>
      <x:c r="Y22" s="79" t="str">
        <x:v>否</x:v>
      </x:c>
    </x:row>
    <x:row r="23" ht="409.5" customHeight="1">
      <x:c r="A23" s="79">
        <x:v>23</x:v>
      </x:c>
      <x:c r="B23" s="80">
        <x:v>46218</x:v>
      </x:c>
      <x:c r="C23" s="79" t="s">
        <x:v>36</x:v>
      </x:c>
      <x:c r="D23" s="79" t="s">
        <x:v>37</x:v>
      </x:c>
      <x:c r="E23" s="79" t="s">
        <x:v>38</x:v>
      </x:c>
      <x:c r="F23" s="79" t="s">
        <x:v>304</x:v>
      </x:c>
      <x:c r="G23" s="79" t="s">
        <x:v>39</x:v>
      </x:c>
      <x:c r="H23" s="79" t="s">
        <x:v>39</x:v>
      </x:c>
      <x:c r="I23" s="79" t="s">
        <x:v>40</x:v>
      </x:c>
      <x:c r="J23" s="79" t="s">
        <x:v>41</x:v>
      </x:c>
      <x:c r="K23" s="79" t="s">
        <x:v>195</x:v>
      </x:c>
      <x:c r="L23" s="79" t="s">
        <x:v>348</x:v>
      </x:c>
      <x:c r="M23" s="79" t="s">
        <x:v>349</x:v>
      </x:c>
      <x:c r="N23" s="92" t="s">
        <x:v>196</x:v>
      </x:c>
      <x:c r="O23" s="79" t="s">
        <x:v>44</x:v>
      </x:c>
      <x:c r="P23" s="79" t="s">
        <x:v>307</x:v>
      </x:c>
      <x:c r="Q23" s="79" t="s">
        <x:v>45</x:v>
      </x:c>
      <x:c r="R23" s="79" t="s">
        <x:v>46</x:v>
      </x:c>
      <x:c r="S23" s="79" t="s">
        <x:v>46</x:v>
      </x:c>
      <x:c r="T23" s="79" t="s">
        <x:v>46</x:v>
      </x:c>
      <x:c r="U23" s="79" t="s">
        <x:v>47</x:v>
      </x:c>
      <x:c r="V23" s="79" t="s">
        <x:v>47</x:v>
      </x:c>
      <x:c r="W23" s="79" t="s">
        <x:v>318</x:v>
      </x:c>
      <x:c r="X23" s="79" t="s">
        <x:v>41</x:v>
      </x:c>
      <x:c r="Y23" s="79" t="str">
        <x:v>否</x:v>
      </x:c>
    </x:row>
    <x:row r="24" ht="409.5" customHeight="1">
      <x:c r="A24" s="79">
        <x:v>24</x:v>
      </x:c>
      <x:c r="B24" s="80">
        <x:v>46218</x:v>
      </x:c>
      <x:c r="C24" s="79" t="s">
        <x:v>36</x:v>
      </x:c>
      <x:c r="D24" s="79" t="s">
        <x:v>37</x:v>
      </x:c>
      <x:c r="E24" s="79" t="s">
        <x:v>38</x:v>
      </x:c>
      <x:c r="F24" s="79" t="s">
        <x:v>304</x:v>
      </x:c>
      <x:c r="G24" s="79" t="s">
        <x:v>39</x:v>
      </x:c>
      <x:c r="H24" s="79" t="s">
        <x:v>39</x:v>
      </x:c>
      <x:c r="I24" s="79" t="s">
        <x:v>40</x:v>
      </x:c>
      <x:c r="J24" s="79" t="s">
        <x:v>41</x:v>
      </x:c>
      <x:c r="K24" s="79" t="s">
        <x:v>197</x:v>
      </x:c>
      <x:c r="L24" s="79" t="s">
        <x:v>350</x:v>
      </x:c>
      <x:c r="M24" s="79" t="s">
        <x:v>351</x:v>
      </x:c>
      <x:c r="N24" s="92" t="s">
        <x:v>198</x:v>
      </x:c>
      <x:c r="O24" s="79" t="s">
        <x:v>44</x:v>
      </x:c>
      <x:c r="P24" s="79" t="s">
        <x:v>307</x:v>
      </x:c>
      <x:c r="Q24" s="79" t="s">
        <x:v>45</x:v>
      </x:c>
      <x:c r="R24" s="79" t="s">
        <x:v>46</x:v>
      </x:c>
      <x:c r="S24" s="79" t="s">
        <x:v>46</x:v>
      </x:c>
      <x:c r="T24" s="79" t="s">
        <x:v>46</x:v>
      </x:c>
      <x:c r="U24" s="79" t="s">
        <x:v>47</x:v>
      </x:c>
      <x:c r="V24" s="79" t="s">
        <x:v>47</x:v>
      </x:c>
      <x:c r="W24" s="79" t="s">
        <x:v>318</x:v>
      </x:c>
      <x:c r="X24" s="79" t="s">
        <x:v>41</x:v>
      </x:c>
      <x:c r="Y24" s="79" t="str">
        <x:v>否</x:v>
      </x:c>
    </x:row>
    <x:row r="25" ht="92.44999694824219" customHeight="1">
      <x:c r="A25" s="79">
        <x:v>25</x:v>
      </x:c>
      <x:c r="B25" s="80">
        <x:v>46218</x:v>
      </x:c>
      <x:c r="C25" s="79" t="s">
        <x:v>36</x:v>
      </x:c>
      <x:c r="D25" s="79" t="s">
        <x:v>37</x:v>
      </x:c>
      <x:c r="E25" s="79" t="s">
        <x:v>38</x:v>
      </x:c>
      <x:c r="F25" s="79" t="s">
        <x:v>304</x:v>
      </x:c>
      <x:c r="G25" s="79" t="s">
        <x:v>39</x:v>
      </x:c>
      <x:c r="H25" s="79" t="s">
        <x:v>39</x:v>
      </x:c>
      <x:c r="I25" s="79" t="s">
        <x:v>40</x:v>
      </x:c>
      <x:c r="J25" s="79" t="s">
        <x:v>41</x:v>
      </x:c>
      <x:c r="K25" s="79" t="s">
        <x:v>200</x:v>
      </x:c>
      <x:c r="L25" s="79" t="s">
        <x:v>352</x:v>
      </x:c>
      <x:c r="M25" s="79" t="s">
        <x:v>353</x:v>
      </x:c>
      <x:c r="N25" s="92" t="s">
        <x:v>201</x:v>
      </x:c>
      <x:c r="O25" s="79" t="s">
        <x:v>44</x:v>
      </x:c>
      <x:c r="P25" s="79" t="s">
        <x:v>307</x:v>
      </x:c>
      <x:c r="Q25" s="79" t="s">
        <x:v>45</x:v>
      </x:c>
      <x:c r="R25" s="79" t="s">
        <x:v>46</x:v>
      </x:c>
      <x:c r="S25" s="79" t="s">
        <x:v>46</x:v>
      </x:c>
      <x:c r="T25" s="79" t="s">
        <x:v>46</x:v>
      </x:c>
      <x:c r="U25" s="79" t="s">
        <x:v>47</x:v>
      </x:c>
      <x:c r="V25" s="79" t="s">
        <x:v>47</x:v>
      </x:c>
      <x:c r="W25" s="79" t="s">
        <x:v>318</x:v>
      </x:c>
      <x:c r="X25" s="79" t="s">
        <x:v>41</x:v>
      </x:c>
      <x:c r="Y25" s="79" t="str">
        <x:v>否</x:v>
      </x:c>
    </x:row>
    <x:row r="26" ht="409.5" customHeight="1">
      <x:c r="A26" s="79">
        <x:v>26</x:v>
      </x:c>
      <x:c r="B26" s="80">
        <x:v>46218</x:v>
      </x:c>
      <x:c r="C26" s="79" t="s">
        <x:v>36</x:v>
      </x:c>
      <x:c r="D26" s="79" t="s">
        <x:v>37</x:v>
      </x:c>
      <x:c r="E26" s="79" t="s">
        <x:v>38</x:v>
      </x:c>
      <x:c r="F26" s="79" t="s">
        <x:v>304</x:v>
      </x:c>
      <x:c r="G26" s="79" t="s">
        <x:v>39</x:v>
      </x:c>
      <x:c r="H26" s="79" t="s">
        <x:v>39</x:v>
      </x:c>
      <x:c r="I26" s="79" t="s">
        <x:v>40</x:v>
      </x:c>
      <x:c r="J26" s="79" t="s">
        <x:v>41</x:v>
      </x:c>
      <x:c r="K26" s="79" t="s">
        <x:v>203</x:v>
      </x:c>
      <x:c r="L26" s="79" t="s">
        <x:v>354</x:v>
      </x:c>
      <x:c r="M26" s="79" t="s">
        <x:v>355</x:v>
      </x:c>
      <x:c r="N26" s="92" t="s">
        <x:v>204</x:v>
      </x:c>
      <x:c r="O26" s="79" t="s">
        <x:v>44</x:v>
      </x:c>
      <x:c r="P26" s="79" t="s">
        <x:v>307</x:v>
      </x:c>
      <x:c r="Q26" s="79" t="s">
        <x:v>45</x:v>
      </x:c>
      <x:c r="R26" s="79" t="s">
        <x:v>46</x:v>
      </x:c>
      <x:c r="S26" s="79" t="s">
        <x:v>46</x:v>
      </x:c>
      <x:c r="T26" s="79" t="s">
        <x:v>46</x:v>
      </x:c>
      <x:c r="U26" s="79" t="s">
        <x:v>47</x:v>
      </x:c>
      <x:c r="V26" s="79" t="s">
        <x:v>47</x:v>
      </x:c>
      <x:c r="W26" s="79" t="s">
        <x:v>318</x:v>
      </x:c>
      <x:c r="X26" s="79" t="s">
        <x:v>41</x:v>
      </x:c>
      <x:c r="Y26" s="79" t="str">
        <x:v>否</x:v>
      </x:c>
    </x:row>
    <x:row r="27" ht="41.650001525878906">
      <x:c r="A27" s="79">
        <x:v>27</x:v>
      </x:c>
      <x:c r="B27" s="80">
        <x:v>46213</x:v>
      </x:c>
      <x:c r="C27" s="79" t="s">
        <x:v>36</x:v>
      </x:c>
      <x:c r="D27" s="79" t="s">
        <x:v>50</x:v>
      </x:c>
      <x:c r="E27" s="79" t="s">
        <x:v>51</x:v>
      </x:c>
      <x:c r="F27" s="79" t="s">
        <x:v>52</x:v>
      </x:c>
      <x:c r="G27" s="79" t="s">
        <x:v>39</x:v>
      </x:c>
      <x:c r="H27" s="79" t="s">
        <x:v>39</x:v>
      </x:c>
      <x:c r="I27" s="79" t="s">
        <x:v>40</x:v>
      </x:c>
      <x:c r="J27" s="79" t="s">
        <x:v>41</x:v>
      </x:c>
      <x:c r="K27" s="79" t="s">
        <x:v>221</x:v>
      </x:c>
      <x:c r="L27" s="79" t="s">
        <x:v>224</x:v>
      </x:c>
      <x:c r="M27" s="79" t="s">
        <x:v>356</x:v>
      </x:c>
      <x:c r="N27" s="92" t="s">
        <x:v>222</x:v>
      </x:c>
      <x:c r="O27" s="79" t="s">
        <x:v>44</x:v>
      </x:c>
      <x:c r="P27" s="93" t="s">
        <x:v>357</x:v>
      </x:c>
      <x:c r="Q27" s="79" t="s">
        <x:v>55</x:v>
      </x:c>
      <x:c r="R27" s="79" t="s">
        <x:v>46</x:v>
      </x:c>
      <x:c r="S27" s="79" t="s">
        <x:v>46</x:v>
      </x:c>
      <x:c r="T27" s="79" t="s">
        <x:v>46</x:v>
      </x:c>
      <x:c r="U27" s="79" t="s">
        <x:v>47</x:v>
      </x:c>
      <x:c r="V27" s="79" t="s">
        <x:v>47</x:v>
      </x:c>
      <x:c r="W27" s="79" t="s">
        <x:v>358</x:v>
      </x:c>
      <x:c r="X27" s="79" t="s">
        <x:v>41</x:v>
      </x:c>
      <x:c r="Y27" s="79" t="str">
        <x:v>否</x:v>
      </x:c>
    </x:row>
    <x:row r="28" ht="41.650001525878906">
      <x:c r="A28" s="79">
        <x:v>28</x:v>
      </x:c>
      <x:c r="B28" s="80">
        <x:v>46213</x:v>
      </x:c>
      <x:c r="C28" s="79" t="s">
        <x:v>36</x:v>
      </x:c>
      <x:c r="D28" s="79" t="s">
        <x:v>50</x:v>
      </x:c>
      <x:c r="E28" s="79" t="s">
        <x:v>51</x:v>
      </x:c>
      <x:c r="F28" s="79" t="s">
        <x:v>52</x:v>
      </x:c>
      <x:c r="G28" s="79" t="s">
        <x:v>39</x:v>
      </x:c>
      <x:c r="H28" s="79" t="s">
        <x:v>39</x:v>
      </x:c>
      <x:c r="I28" s="79" t="s">
        <x:v>40</x:v>
      </x:c>
      <x:c r="J28" s="79" t="s">
        <x:v>41</x:v>
      </x:c>
      <x:c r="K28" s="79" t="s">
        <x:v>53</x:v>
      </x:c>
      <x:c r="L28" s="79" t="str">
        <x:v>UP主视频标题明确写出“反对‘皇汉’极端民族主义者曲解《民族团结进步促进法》，筑牢中华民族共同体意识”。</x:v>
      </x:c>
      <x:c r="M28" s="79" t="str">
        <x:v>UP主公开表达反对曲解本法并支持共同体意识建设。</x:v>
      </x:c>
      <x:c r="N28" s="92" t="s">
        <x:v>54</x:v>
      </x:c>
      <x:c r="O28" s="79" t="s">
        <x:v>44</x:v>
      </x:c>
      <x:c r="P28" s="79" t="str">
        <x:v>支持认可</x:v>
      </x:c>
      <x:c r="Q28" s="79" t="s">
        <x:v>55</x:v>
      </x:c>
      <x:c r="R28" s="79" t="s">
        <x:v>46</x:v>
      </x:c>
      <x:c r="S28" s="79" t="s">
        <x:v>46</x:v>
      </x:c>
      <x:c r="T28" s="79" t="s">
        <x:v>46</x:v>
      </x:c>
      <x:c r="U28" s="79" t="s">
        <x:v>47</x:v>
      </x:c>
      <x:c r="V28" s="79" t="s">
        <x:v>47</x:v>
      </x:c>
      <x:c r="W28" s="79" t="str">
        <x:v>最终复核：以UP主视频标题作为公开原始观点证据；公众统计=是。</x:v>
      </x:c>
      <x:c r="X28" s="79" t="s">
        <x:v>41</x:v>
      </x:c>
      <x:c r="Y28" s="79" t="str">
        <x:v>是</x:v>
      </x:c>
    </x:row>
    <x:row r="29" ht="27.75">
      <x:c r="A29" s="79">
        <x:v>29</x:v>
      </x:c>
      <x:c r="B29" s="80">
        <x:v>46213</x:v>
      </x:c>
      <x:c r="C29" s="79" t="s">
        <x:v>36</x:v>
      </x:c>
      <x:c r="D29" s="79" t="s">
        <x:v>50</x:v>
      </x:c>
      <x:c r="E29" s="79" t="s">
        <x:v>51</x:v>
      </x:c>
      <x:c r="F29" s="79" t="s">
        <x:v>52</x:v>
      </x:c>
      <x:c r="G29" s="79" t="s">
        <x:v>39</x:v>
      </x:c>
      <x:c r="H29" s="79" t="s">
        <x:v>39</x:v>
      </x:c>
      <x:c r="I29" s="79" t="s">
        <x:v>40</x:v>
      </x:c>
      <x:c r="J29" s="79" t="s">
        <x:v>41</x:v>
      </x:c>
      <x:c r="K29" s="79" t="s">
        <x:v>56</x:v>
      </x:c>
      <x:c r="L29" s="79" t="str">
        <x:v>UP主视频标题为“一起看民族团结进步促进法”。</x:v>
      </x:c>
      <x:c r="M29" s="79" t="str">
        <x:v>视频主题直接介绍本法，标题未表达明确支持或反对。</x:v>
      </x:c>
      <x:c r="N29" s="92" t="s">
        <x:v>57</x:v>
      </x:c>
      <x:c r="O29" s="79" t="s">
        <x:v>44</x:v>
      </x:c>
      <x:c r="P29" s="79" t="str">
        <x:v>中性信息</x:v>
      </x:c>
      <x:c r="Q29" s="79" t="s">
        <x:v>55</x:v>
      </x:c>
      <x:c r="R29" s="79" t="s">
        <x:v>46</x:v>
      </x:c>
      <x:c r="S29" s="79" t="s">
        <x:v>46</x:v>
      </x:c>
      <x:c r="T29" s="79" t="s">
        <x:v>46</x:v>
      </x:c>
      <x:c r="U29" s="79" t="s">
        <x:v>47</x:v>
      </x:c>
      <x:c r="V29" s="79" t="s">
        <x:v>47</x:v>
      </x:c>
      <x:c r="W29" s="79" t="str">
        <x:v>最终复核：改为中性信息；公众统计=是。</x:v>
      </x:c>
      <x:c r="X29" s="79" t="s">
        <x:v>41</x:v>
      </x:c>
      <x:c r="Y29" s="79" t="str">
        <x:v>是</x:v>
      </x:c>
    </x:row>
    <x:row r="30" ht="27.75">
      <x:c r="A30" s="79">
        <x:v>30</x:v>
      </x:c>
      <x:c r="B30" s="80">
        <x:v>46213</x:v>
      </x:c>
      <x:c r="C30" s="79" t="s">
        <x:v>36</x:v>
      </x:c>
      <x:c r="D30" s="79" t="s">
        <x:v>50</x:v>
      </x:c>
      <x:c r="E30" s="79" t="s">
        <x:v>58</x:v>
      </x:c>
      <x:c r="F30" s="79" t="s">
        <x:v>52</x:v>
      </x:c>
      <x:c r="G30" s="79" t="s">
        <x:v>39</x:v>
      </x:c>
      <x:c r="H30" s="79" t="s">
        <x:v>39</x:v>
      </x:c>
      <x:c r="I30" s="79" t="s">
        <x:v>40</x:v>
      </x:c>
      <x:c r="J30" s="79" t="s">
        <x:v>41</x:v>
      </x:c>
      <x:c r="K30" s="79" t="s">
        <x:v>59</x:v>
      </x:c>
      <x:c r="L30" s="79" t="str">
        <x:v>UP主视频标题为“民族团结法7月1日正式实施，对外国人有效”。</x:v>
      </x:c>
      <x:c r="M30" s="79" t="str">
        <x:v>视频围绕施行时间和适用范围进行个人解读，未表达明确支持或反对。</x:v>
      </x:c>
      <x:c r="N30" s="92" t="s">
        <x:v>60</x:v>
      </x:c>
      <x:c r="O30" s="79" t="s">
        <x:v>44</x:v>
      </x:c>
      <x:c r="P30" s="79" t="str">
        <x:v>中性信息</x:v>
      </x:c>
      <x:c r="Q30" s="79" t="s">
        <x:v>61</x:v>
      </x:c>
      <x:c r="R30" s="79" t="s">
        <x:v>46</x:v>
      </x:c>
      <x:c r="S30" s="79" t="s">
        <x:v>46</x:v>
      </x:c>
      <x:c r="T30" s="79" t="s">
        <x:v>46</x:v>
      </x:c>
      <x:c r="U30" s="79" t="s">
        <x:v>47</x:v>
      </x:c>
      <x:c r="V30" s="79" t="s">
        <x:v>47</x:v>
      </x:c>
      <x:c r="W30" s="79" t="str">
        <x:v>最终复核：改为中性信息；公众统计=是。</x:v>
      </x:c>
      <x:c r="X30" s="79" t="s">
        <x:v>41</x:v>
      </x:c>
      <x:c r="Y30" s="79" t="str">
        <x:v>是</x:v>
      </x:c>
    </x:row>
    <x:row r="31" ht="83.25">
      <x:c r="A31" s="79">
        <x:v>31</x:v>
      </x:c>
      <x:c r="B31" s="80">
        <x:v>46223</x:v>
      </x:c>
      <x:c r="C31" s="79" t="s">
        <x:v>36</x:v>
      </x:c>
      <x:c r="D31" s="79" t="s">
        <x:v>205</x:v>
      </x:c>
      <x:c r="E31" s="79" t="s">
        <x:v>359</x:v>
      </x:c>
      <x:c r="F31" s="79" t="s">
        <x:v>360</x:v>
      </x:c>
      <x:c r="G31" s="79" t="s">
        <x:v>39</x:v>
      </x:c>
      <x:c r="H31" s="79" t="s">
        <x:v>39</x:v>
      </x:c>
      <x:c r="I31" s="79" t="s">
        <x:v>40</x:v>
      </x:c>
      <x:c r="J31" s="79" t="s">
        <x:v>41</x:v>
      </x:c>
      <x:c r="K31" s="79" t="s">
        <x:v>206</x:v>
      </x:c>
      <x:c r="L31" s="79" t="s">
        <x:v>361</x:v>
      </x:c>
      <x:c r="M31" s="79" t="s">
        <x:v>362</x:v>
      </x:c>
      <x:c r="N31" s="92" t="s">
        <x:v>207</x:v>
      </x:c>
      <x:c r="O31" s="79" t="s">
        <x:v>44</x:v>
      </x:c>
      <x:c r="P31" s="79" t="s">
        <x:v>307</x:v>
      </x:c>
      <x:c r="Q31" s="79" t="s">
        <x:v>363</x:v>
      </x:c>
      <x:c r="R31" s="79" t="s">
        <x:v>46</x:v>
      </x:c>
      <x:c r="S31" s="79" t="s">
        <x:v>46</x:v>
      </x:c>
      <x:c r="T31" s="79" t="s">
        <x:v>46</x:v>
      </x:c>
      <x:c r="U31" s="79" t="s">
        <x:v>47</x:v>
      </x:c>
      <x:c r="V31" s="79" t="s">
        <x:v>47</x:v>
      </x:c>
      <x:c r="W31" s="79" t="s">
        <x:v>364</x:v>
      </x:c>
      <x:c r="X31" s="79" t="s">
        <x:v>41</x:v>
      </x:c>
      <x:c r="Y31" s="79" t="str">
        <x:v>否</x:v>
      </x:c>
    </x:row>
    <x:row r="32" ht="83.25">
      <x:c r="A32" s="79">
        <x:v>32</x:v>
      </x:c>
      <x:c r="B32" s="80">
        <x:v>46223</x:v>
      </x:c>
      <x:c r="C32" s="79" t="s">
        <x:v>36</x:v>
      </x:c>
      <x:c r="D32" s="79" t="s">
        <x:v>205</x:v>
      </x:c>
      <x:c r="E32" s="79" t="s">
        <x:v>359</x:v>
      </x:c>
      <x:c r="F32" s="79" t="s">
        <x:v>360</x:v>
      </x:c>
      <x:c r="G32" s="79" t="s">
        <x:v>39</x:v>
      </x:c>
      <x:c r="H32" s="79" t="s">
        <x:v>39</x:v>
      </x:c>
      <x:c r="I32" s="79" t="s">
        <x:v>40</x:v>
      </x:c>
      <x:c r="J32" s="79" t="s">
        <x:v>41</x:v>
      </x:c>
      <x:c r="K32" s="79" t="s">
        <x:v>208</x:v>
      </x:c>
      <x:c r="L32" s="79" t="s">
        <x:v>365</x:v>
      </x:c>
      <x:c r="M32" s="79" t="s">
        <x:v>362</x:v>
      </x:c>
      <x:c r="N32" s="92" t="s">
        <x:v>209</x:v>
      </x:c>
      <x:c r="O32" s="79" t="s">
        <x:v>44</x:v>
      </x:c>
      <x:c r="P32" s="79" t="s">
        <x:v>307</x:v>
      </x:c>
      <x:c r="Q32" s="79" t="s">
        <x:v>363</x:v>
      </x:c>
      <x:c r="R32" s="79" t="s">
        <x:v>46</x:v>
      </x:c>
      <x:c r="S32" s="79" t="s">
        <x:v>46</x:v>
      </x:c>
      <x:c r="T32" s="79" t="s">
        <x:v>46</x:v>
      </x:c>
      <x:c r="U32" s="79" t="s">
        <x:v>47</x:v>
      </x:c>
      <x:c r="V32" s="79" t="s">
        <x:v>47</x:v>
      </x:c>
      <x:c r="W32" s="79" t="s">
        <x:v>364</x:v>
      </x:c>
      <x:c r="X32" s="79" t="s">
        <x:v>41</x:v>
      </x:c>
      <x:c r="Y32" s="79" t="str">
        <x:v>否</x:v>
      </x:c>
    </x:row>
    <x:row r="33" ht="55.5">
      <x:c r="A33" s="79">
        <x:v>33</x:v>
      </x:c>
      <x:c r="B33" s="80">
        <x:v>46223</x:v>
      </x:c>
      <x:c r="C33" s="79" t="s">
        <x:v>36</x:v>
      </x:c>
      <x:c r="D33" s="79" t="s">
        <x:v>205</x:v>
      </x:c>
      <x:c r="E33" s="79" t="s">
        <x:v>359</x:v>
      </x:c>
      <x:c r="F33" s="79" t="s">
        <x:v>360</x:v>
      </x:c>
      <x:c r="G33" s="79" t="s">
        <x:v>39</x:v>
      </x:c>
      <x:c r="H33" s="79" t="s">
        <x:v>39</x:v>
      </x:c>
      <x:c r="I33" s="79" t="s">
        <x:v>40</x:v>
      </x:c>
      <x:c r="J33" s="79" t="s">
        <x:v>41</x:v>
      </x:c>
      <x:c r="K33" s="79" t="s">
        <x:v>210</x:v>
      </x:c>
      <x:c r="L33" s="79" t="s">
        <x:v>366</x:v>
      </x:c>
      <x:c r="M33" s="79" t="s">
        <x:v>362</x:v>
      </x:c>
      <x:c r="N33" s="92" t="s">
        <x:v>211</x:v>
      </x:c>
      <x:c r="O33" s="79" t="s">
        <x:v>44</x:v>
      </x:c>
      <x:c r="P33" s="79" t="s">
        <x:v>307</x:v>
      </x:c>
      <x:c r="Q33" s="79" t="s">
        <x:v>363</x:v>
      </x:c>
      <x:c r="R33" s="79" t="s">
        <x:v>46</x:v>
      </x:c>
      <x:c r="S33" s="79" t="s">
        <x:v>46</x:v>
      </x:c>
      <x:c r="T33" s="79" t="s">
        <x:v>46</x:v>
      </x:c>
      <x:c r="U33" s="79" t="s">
        <x:v>47</x:v>
      </x:c>
      <x:c r="V33" s="79" t="s">
        <x:v>47</x:v>
      </x:c>
      <x:c r="W33" s="79" t="s">
        <x:v>364</x:v>
      </x:c>
      <x:c r="X33" s="79" t="s">
        <x:v>41</x:v>
      </x:c>
      <x:c r="Y33" s="79" t="str">
        <x:v>否</x:v>
      </x:c>
    </x:row>
    <x:row r="34" ht="55.5">
      <x:c r="A34" s="79">
        <x:v>34</x:v>
      </x:c>
      <x:c r="B34" s="80">
        <x:v>46223</x:v>
      </x:c>
      <x:c r="C34" s="79" t="s">
        <x:v>36</x:v>
      </x:c>
      <x:c r="D34" s="79" t="s">
        <x:v>205</x:v>
      </x:c>
      <x:c r="E34" s="79" t="s">
        <x:v>359</x:v>
      </x:c>
      <x:c r="F34" s="79" t="s">
        <x:v>360</x:v>
      </x:c>
      <x:c r="G34" s="79" t="s">
        <x:v>39</x:v>
      </x:c>
      <x:c r="H34" s="79" t="s">
        <x:v>39</x:v>
      </x:c>
      <x:c r="I34" s="79" t="s">
        <x:v>40</x:v>
      </x:c>
      <x:c r="J34" s="79" t="s">
        <x:v>41</x:v>
      </x:c>
      <x:c r="K34" s="79" t="s">
        <x:v>213</x:v>
      </x:c>
      <x:c r="L34" s="79" t="s">
        <x:v>367</x:v>
      </x:c>
      <x:c r="M34" s="79" t="s">
        <x:v>362</x:v>
      </x:c>
      <x:c r="N34" s="92" t="s">
        <x:v>214</x:v>
      </x:c>
      <x:c r="O34" s="79" t="s">
        <x:v>44</x:v>
      </x:c>
      <x:c r="P34" s="79" t="s">
        <x:v>307</x:v>
      </x:c>
      <x:c r="Q34" s="79" t="s">
        <x:v>363</x:v>
      </x:c>
      <x:c r="R34" s="79" t="s">
        <x:v>46</x:v>
      </x:c>
      <x:c r="S34" s="79" t="s">
        <x:v>46</x:v>
      </x:c>
      <x:c r="T34" s="79" t="s">
        <x:v>46</x:v>
      </x:c>
      <x:c r="U34" s="79" t="s">
        <x:v>47</x:v>
      </x:c>
      <x:c r="V34" s="79" t="s">
        <x:v>47</x:v>
      </x:c>
      <x:c r="W34" s="79" t="s">
        <x:v>364</x:v>
      </x:c>
      <x:c r="X34" s="79" t="s">
        <x:v>41</x:v>
      </x:c>
      <x:c r="Y34" s="79" t="str">
        <x:v>否</x:v>
      </x:c>
    </x:row>
  </x:sheetData>
  <x:conditionalFormatting sqref="P2:P27">
    <x:cfRule type="expression" dxfId="2" priority="1" stopIfTrue="1">
      <x:formula>P2="支持认可"</x:formula>
    </x:cfRule>
    <x:cfRule type="expression" dxfId="1" priority="2" stopIfTrue="1">
      <x:formula>P2="明确批评"</x:formula>
    </x:cfRule>
    <x:cfRule type="expression" dxfId="0" priority="3" stopIfTrue="1">
      <x:formula>P2="待核实信息"</x:formula>
    </x:cfRule>
  </x:conditionalFormatting>
  <x:pageMargins left="0.7" right="0.7" top="0.75" bottom="0.75" header="0.3" footer="0.3"/>
  <x:tableParts count="1">
    <x:tablePart xmlns:r="http://schemas.openxmlformats.org/officeDocument/2006/relationships" r:id="R972e012df36443e1"/>
  </x:tableParts>
</x:worksheet>
</file>

<file path=xl/worksheets/sheet9.xml><?xml version="1.0" encoding="utf-8"?>
<x:worksheet xmlns:x="http://schemas.openxmlformats.org/spreadsheetml/2006/main">
  <x:sheetFormatPr defaultColWidth="9" defaultRowHeight="13.5"/>
  <x:cols>
    <x:col min="1" max="1" width="12" customWidth="1"/>
    <x:col min="2" max="2" width="44" customWidth="1"/>
  </x:cols>
  <x:sheetData>
    <x:row r="1" ht="15" customHeight="1">
      <x:c r="A1" s="1" t="s">
        <x:v>368</x:v>
      </x:c>
      <x:c r="B1" s="1" t="s">
        <x:v>369</x:v>
      </x:c>
    </x:row>
    <x:row r="2" ht="39.599998474121094" customHeight="1">
      <x:c r="A2" s="2">
        <x:v>1</x:v>
      </x:c>
      <x:c r="B2" s="15" t="s">
        <x:v>45</x:v>
      </x:c>
    </x:row>
    <x:row r="3" ht="39.599998474121094" customHeight="1">
      <x:c r="A3" s="2">
        <x:v>2</x:v>
      </x:c>
      <x:c r="B3" s="15" t="s">
        <x:v>55</x:v>
      </x:c>
    </x:row>
    <x:row r="4" ht="39.599998474121094" customHeight="1">
      <x:c r="A4" s="2">
        <x:v>3</x:v>
      </x:c>
      <x:c r="B4" s="27" t="s">
        <x:v>61</x:v>
      </x:c>
    </x:row>
    <x:row r="5" ht="39.599998474121094" customHeight="1">
      <x:c r="A5" s="2"/>
      <x:c r="B5" s="12"/>
    </x:row>
    <x:row r="6" ht="66" customHeight="1">
      <x:c r="A6" s="2"/>
      <x:c r="B6" s="12"/>
    </x:row>
    <x:row r="7" ht="39.599998474121094" customHeight="1">
      <x:c r="A7" s="2"/>
      <x:c r="B7" s="12"/>
    </x:row>
    <x:row r="8" ht="39.599998474121094" customHeight="1">
      <x:c r="A8" s="2"/>
      <x:c r="B8" s="12"/>
    </x:row>
    <x:row r="9" ht="39.599998474121094" customHeight="1">
      <x:c r="A9" s="2"/>
      <x:c r="B9" s="12"/>
    </x:row>
    <x:row r="10" ht="66" customHeight="1">
      <x:c r="A10" s="2"/>
      <x:c r="B10" s="12"/>
    </x:row>
    <x:row r="11" ht="39.599998474121094" customHeight="1">
      <x:c r="A11" s="2"/>
      <x:c r="B11" s="12"/>
    </x:row>
    <x:row r="12" ht="39.599998474121094" customHeight="1">
      <x:c r="A12" s="2"/>
      <x:c r="B12" s="12"/>
    </x:row>
    <x:row r="13" ht="39.599998474121094" customHeight="1">
      <x:c r="A13" s="2"/>
      <x:c r="B13" s="12"/>
    </x:row>
    <x:row r="14" ht="39.599998474121094" customHeight="1">
      <x:c r="A14" s="2"/>
      <x:c r="B14" s="2"/>
    </x:row>
    <x:row r="15" ht="39.599998474121094" customHeight="1">
      <x:c r="A15" s="2"/>
      <x:c r="B15" s="2"/>
    </x:row>
    <x:row r="16" ht="39.599998474121094" customHeight="1">
      <x:c r="A16" s="2"/>
      <x:c r="B16" s="2"/>
    </x:row>
    <x:row r="17" ht="39.599998474121094" customHeight="1">
      <x:c r="A17" s="2"/>
      <x:c r="B17" s="2"/>
    </x:row>
    <x:row r="18" ht="66" customHeight="1">
      <x:c r="A18" s="2"/>
      <x:c r="B18" s="2"/>
    </x:row>
    <x:row r="19" ht="39.599998474121094" customHeight="1">
      <x:c r="A19" s="2"/>
      <x:c r="B19" s="2"/>
    </x:row>
    <x:row r="20" ht="39.599998474121094" customHeight="1">
      <x:c r="A20" s="2"/>
      <x:c r="B20" s="2"/>
    </x:row>
    <x:row r="21" ht="39.599998474121094" customHeight="1">
      <x:c r="A21" s="2"/>
      <x:c r="B21" s="2"/>
    </x:row>
    <x:row r="22" ht="39.599998474121094" customHeight="1">
      <x:c r="A22" s="2"/>
      <x:c r="B22" s="2"/>
    </x:row>
    <x:row r="23" ht="39.599998474121094" customHeight="1">
      <x:c r="A23" s="2"/>
      <x:c r="B23" s="2"/>
    </x:row>
    <x:row r="24" ht="39.599998474121094" customHeight="1">
      <x:c r="A24" s="2"/>
      <x:c r="B24" s="2"/>
    </x:row>
    <x:row r="25" ht="39.599998474121094" customHeight="1">
      <x:c r="A25" s="2"/>
      <x:c r="B25" s="2"/>
    </x:row>
    <x:row r="26" ht="39.599998474121094" customHeight="1">
      <x:c r="A26" s="2"/>
      <x:c r="B26" s="2"/>
    </x:row>
    <x:row r="27" ht="39.599998474121094" customHeight="1">
      <x:c r="A27" s="2"/>
      <x:c r="B27" s="2"/>
    </x:row>
    <x:row r="28" ht="39.599998474121094" customHeight="1">
      <x:c r="A28" s="2"/>
      <x:c r="B28" s="2"/>
    </x:row>
    <x:row r="29" ht="39.599998474121094" customHeight="1">
      <x:c r="A29" s="2"/>
      <x:c r="B29" s="2"/>
    </x:row>
    <x:row r="30" ht="39.599998474121094" customHeight="1">
      <x:c r="A30" s="2"/>
      <x:c r="B30" s="2"/>
    </x:row>
    <x:row r="31" ht="39.599998474121094" customHeight="1">
      <x:c r="A31" s="2"/>
      <x:c r="B31" s="2"/>
    </x:row>
    <x:row r="32" ht="39.599998474121094" customHeight="1">
      <x:c r="A32" s="2"/>
      <x:c r="B32" s="2"/>
    </x:row>
    <x:row r="33" ht="39.599998474121094" customHeight="1">
      <x:c r="A33" s="2"/>
      <x:c r="B33" s="2"/>
    </x:row>
    <x:row r="34" ht="39.599998474121094" customHeight="1">
      <x:c r="A34" s="2"/>
      <x:c r="B34" s="2"/>
    </x:row>
    <x:row r="35" ht="66" customHeight="1">
      <x:c r="A35" s="2"/>
      <x:c r="B35" s="2"/>
    </x:row>
    <x:row r="36" ht="39.599998474121094" customHeight="1">
      <x:c r="A36" s="2"/>
      <x:c r="B36" s="2"/>
    </x:row>
    <x:row r="37" ht="39.599998474121094" customHeight="1">
      <x:c r="A37" s="2"/>
      <x:c r="B37" s="2"/>
    </x:row>
    <x:row r="38" ht="15" customHeight="1">
      <x:c r="A38" s="2"/>
      <x:c r="B38" s="2"/>
    </x:row>
    <x:row r="39" ht="39.599998474121094" customHeight="1">
      <x:c r="A39" s="2"/>
      <x:c r="B39" s="2"/>
    </x:row>
    <x:row r="40" ht="39.599998474121094" customHeight="1">
      <x:c r="A40" s="2"/>
      <x:c r="B40" s="2"/>
    </x:row>
  </x:sheetData>
  <x:pageMargins left="0.7" right="0.7" top="0.75" bottom="0.75" header="0.3" footer="0.3"/>
  <x:tableParts count="1">
    <x:tablePart xmlns:r="http://schemas.openxmlformats.org/officeDocument/2006/relationships" r:id="Rf34da1e7f8864aec"/>
  </x:tableParts>
</x:worksheet>
</file>

<file path=xl/worksheets/sheet10.xml><?xml version="1.0" encoding="utf-8"?>
<x:worksheet xmlns:x="http://schemas.openxmlformats.org/spreadsheetml/2006/main">
  <x:sheetFormatPr defaultColWidth="9" defaultRowHeight="13.5"/>
  <x:cols>
    <x:col min="1" max="1" width="17" customWidth="1"/>
    <x:col min="2" max="2" width="42" customWidth="1"/>
    <x:col min="3" max="3" width="18" customWidth="1"/>
    <x:col min="4" max="4" width="60" customWidth="1"/>
    <x:col min="5" max="5" width="55" customWidth="1"/>
  </x:cols>
  <x:sheetData>
    <x:row r="1" ht="15" customHeight="1">
      <x:c r="A1" s="1" t="s">
        <x:v>370</x:v>
      </x:c>
      <x:c r="B1" s="1" t="s">
        <x:v>371</x:v>
      </x:c>
      <x:c r="C1" s="1" t="s">
        <x:v>12</x:v>
      </x:c>
      <x:c r="D1" s="1" t="s">
        <x:v>372</x:v>
      </x:c>
      <x:c r="E1" s="1" t="s">
        <x:v>373</x:v>
      </x:c>
    </x:row>
    <x:row r="2" ht="184.8000030517578" customHeight="1">
      <x:c r="A2" s="2" t="s">
        <x:v>374</x:v>
      </x:c>
      <x:c r="B2" s="2" t="s">
        <x:v>375</x:v>
      </x:c>
      <x:c r="C2" s="3">
        <x:v>46094</x:v>
      </x:c>
      <x:c r="D2" s="2" t="s">
        <x:v>376</x:v>
      </x:c>
      <x:c r="E2" s="4" t="s">
        <x:v>377</x:v>
      </x:c>
    </x:row>
    <x:row r="3" ht="158.4499969482422" customHeight="1">
      <x:c r="A3" s="2" t="s">
        <x:v>378</x:v>
      </x:c>
      <x:c r="B3" s="2" t="s">
        <x:v>379</x:v>
      </x:c>
      <x:c r="C3" s="3">
        <x:v>46093</x:v>
      </x:c>
      <x:c r="D3" s="2" t="s">
        <x:v>380</x:v>
      </x:c>
      <x:c r="E3" s="4" t="s">
        <x:v>381</x:v>
      </x:c>
    </x:row>
    <x:row r="4" ht="79.25" customHeight="1">
      <x:c r="A4" s="2" t="s">
        <x:v>382</x:v>
      </x:c>
      <x:c r="B4" s="2" t="s">
        <x:v>383</x:v>
      </x:c>
      <x:c r="C4" s="3">
        <x:v>46197</x:v>
      </x:c>
      <x:c r="D4" s="2" t="s">
        <x:v>384</x:v>
      </x:c>
      <x:c r="E4" s="4" t="s">
        <x:v>385</x:v>
      </x:c>
    </x:row>
    <x:row r="5" ht="132" customHeight="1">
      <x:c r="A5" s="2" t="s">
        <x:v>386</x:v>
      </x:c>
      <x:c r="B5" s="2" t="s">
        <x:v>387</x:v>
      </x:c>
      <x:c r="C5" s="3" t="s">
        <x:v>388</x:v>
      </x:c>
      <x:c r="D5" s="2" t="s">
        <x:v>389</x:v>
      </x:c>
      <x:c r="E5" s="4" t="s">
        <x:v>390</x:v>
      </x:c>
    </x:row>
    <x:row r="6" ht="158.4499969482422" customHeight="1">
      <x:c r="A6" s="2" t="s">
        <x:v>391</x:v>
      </x:c>
      <x:c r="B6" s="2" t="s">
        <x:v>392</x:v>
      </x:c>
      <x:c r="C6" s="3" t="s">
        <x:v>390</x:v>
      </x:c>
      <x:c r="D6" s="2" t="s">
        <x:v>393</x:v>
      </x:c>
      <x:c r="E6" s="4" t="s">
        <x:v>390</x:v>
      </x:c>
    </x:row>
    <x:row r="7" ht="105.5999984741211" customHeight="1">
      <x:c r="A7" s="2" t="s">
        <x:v>25</x:v>
      </x:c>
      <x:c r="B7" s="2" t="s">
        <x:v>394</x:v>
      </x:c>
      <x:c r="C7" s="3" t="s">
        <x:v>390</x:v>
      </x:c>
      <x:c r="D7" s="2" t="s">
        <x:v>395</x:v>
      </x:c>
      <x:c r="E7" s="4" t="s">
        <x:v>390</x:v>
      </x:c>
    </x:row>
  </x:sheetData>
  <x:pageMargins left="0.7" right="0.7" top="0.75" bottom="0.75" header="0.3" footer="0.3"/>
  <x:tableParts count="1">
    <x:tablePart xmlns:r="http://schemas.openxmlformats.org/officeDocument/2006/relationships" r:id="Re7e2c94f00fe4cd7"/>
  </x:tableParts>
</x:worksheet>
</file>

<file path=xl/worksheets/sheet11.xml><?xml version="1.0" encoding="utf-8"?>
<x:worksheet xmlns:x="http://schemas.openxmlformats.org/spreadsheetml/2006/main">
  <x:sheetFormatPr defaultRowHeight="13.5"/>
  <x:cols>
    <x:col min="1" max="1" width="16.1328125" customWidth="1"/>
    <x:col min="2" max="2" width="10.3984375" customWidth="1"/>
  </x:cols>
  <x:sheetData>
    <x:row r="1">
      <x:c r="A1" t="s">
        <x:v>396</x:v>
      </x:c>
      <x:c r="B1" t="s">
        <x:v>64</x:v>
      </x:c>
      <x:c r="C1" t="s">
        <x:v>397</x:v>
      </x:c>
    </x:row>
    <x:row r="2">
      <x:c r="A2" t="s">
        <x:v>398</x:v>
      </x:c>
      <x:c r="B2">
        <x:v>3</x:v>
      </x:c>
      <x:c r="C2" t="s">
        <x:v>399</x:v>
      </x:c>
    </x:row>
    <x:row r="3">
      <x:c r="A3" t="s">
        <x:v>400</x:v>
      </x:c>
      <x:c r="B3">
        <x:v>2</x:v>
      </x:c>
      <x:c r="C3" t="s">
        <x:v>38</x:v>
      </x:c>
    </x:row>
    <x:row r="4">
      <x:c r="A4" t="s">
        <x:v>401</x:v>
      </x:c>
      <x:c r="B4" t="n">
        <x:v>2</x:v>
      </x:c>
      <x:c r="C4" t="s">
        <x:v>402</x:v>
      </x:c>
    </x:row>
    <x:row r="5">
      <x:c r="A5" t="s">
        <x:v>403</x:v>
      </x:c>
      <x:c r="B5" t="n">
        <x:v>1</x:v>
      </x:c>
      <x:c r="C5" t="s">
        <x:v>359</x:v>
      </x:c>
    </x:row>
    <x:row r="6">
      <x:c r="A6" t="s">
        <x:v>404</x:v>
      </x:c>
      <x:c r="B6">
        <x:v>25</x:v>
      </x:c>
      <x:c r="C6" t="s">
        <x:v>405</x:v>
      </x:c>
    </x:row>
    <x:row r="7">
      <x:c r="A7" t="s">
        <x:v>406</x:v>
      </x:c>
      <x:c r="B7">
        <x:v>4</x:v>
      </x:c>
      <x:c r="C7" t="s">
        <x:v>407</x:v>
      </x:c>
    </x:row>
    <x:row r="8">
      <x:c r="A8" t="s">
        <x:v>408</x:v>
      </x:c>
      <x:c r="B8">
        <x:v>4</x:v>
      </x:c>
      <x:c r="C8" t="s">
        <x:v>409</x:v>
      </x:c>
    </x:row>
    <x:row r="9">
      <x:c r="A9" t="s">
        <x:v>410</x:v>
      </x:c>
      <x:c r="B9">
        <x:v>33</x:v>
      </x:c>
    </x:row>
  </x:sheetData>
  <x:pageMargins left="0.7" right="0.7" top="0.75" bottom="0.75" header="0.3" footer="0.3"/>
</x:worksheet>
</file>

<file path=xl/worksheets/sheet12.xml><?xml version="1.0" encoding="utf-8"?>
<x:worksheet xmlns:x="http://schemas.openxmlformats.org/spreadsheetml/2006/main">
  <x:sheetFormatPr defaultRowHeight="13.5"/>
  <x:cols>
    <x:col min="1" max="1" width="22.6640625" customWidth="1"/>
  </x:cols>
  <x:sheetData>
    <x:row r="1">
      <x:c r="A1" t="s">
        <x:v>411</x:v>
      </x:c>
      <x:c r="B1" t="s">
        <x:v>64</x:v>
      </x:c>
      <x:c r="C1" t="s">
        <x:v>412</x:v>
      </x:c>
      <x:c r="D1" t="s">
        <x:v>70</x:v>
      </x:c>
    </x:row>
    <x:row r="2">
      <x:c r="A2" t="s">
        <x:v>413</x:v>
      </x:c>
      <x:c r="B2">
        <x:v>5</x:v>
      </x:c>
      <x:c r="C2" s="24">
        <x:v>1</x:v>
      </x:c>
      <x:c r="D2" t="s">
        <x:v>414</x:v>
      </x:c>
    </x:row>
    <x:row r="3">
      <x:c r="A3" t="s">
        <x:v>415</x:v>
      </x:c>
      <x:c r="B3">
        <x:v>5</x:v>
      </x:c>
      <x:c r="C3" s="24">
        <x:v>1</x:v>
      </x:c>
      <x:c r="D3" t="s">
        <x:v>416</x:v>
      </x:c>
    </x:row>
  </x:sheetData>
  <x:pageMargins left="0.7" right="0.7" top="0.75" bottom="0.75" header="0.3" footer="0.3"/>
</x:worksheet>
</file>

<file path=xl/worksheets/sheet13.xml><?xml version="1.0" encoding="utf-8"?>
<x:worksheet xmlns:x="http://schemas.openxmlformats.org/spreadsheetml/2006/main">
  <x:sheetFormatPr defaultRowHeight="13.5"/>
  <x:sheetData>
    <x:row r="1">
      <x:c r="A1" s="83" t="str">
        <x:v>非支持及非肯定态度类别</x:v>
      </x:c>
      <x:c r="B1" s="83" t="str">
        <x:v>数量</x:v>
      </x:c>
      <x:c r="C1" s="83" t="str">
        <x:v>复核结果</x:v>
      </x:c>
      <x:c r="D1" s="83" t="str">
        <x:v>备注</x:v>
      </x:c>
    </x:row>
    <x:row r="2">
      <x:c r="A2" s="83" t="str">
        <x:v>咨询疑问</x:v>
      </x:c>
      <x:c r="B2" s="83" t="n">
        <x:v>0</x:v>
      </x:c>
      <x:c r="C2" s="83" t="str">
        <x:v>未检出</x:v>
      </x:c>
      <x:c r="D2" s="83" t="str">
        <x:v>最终3条公众意见中无咨询疑问</x:v>
      </x:c>
    </x:row>
    <x:row r="3">
      <x:c r="A3" s="83" t="str">
        <x:v>担忧影响</x:v>
      </x:c>
      <x:c r="B3" s="83" t="n">
        <x:v>0</x:v>
      </x:c>
      <x:c r="C3" s="83" t="str">
        <x:v>未检出</x:v>
      </x:c>
      <x:c r="D3" s="83" t="str">
        <x:v>—</x:v>
      </x:c>
    </x:row>
    <x:row r="4">
      <x:c r="A4" s="83" t="str">
        <x:v>明确批评</x:v>
      </x:c>
      <x:c r="B4" s="83" t="n">
        <x:v>0</x:v>
      </x:c>
      <x:c r="C4" s="83" t="str">
        <x:v>未检出</x:v>
      </x:c>
      <x:c r="D4" s="83" t="str">
        <x:v>—</x:v>
      </x:c>
    </x:row>
    <x:row r="5">
      <x:c r="A5" s="83" t="str">
        <x:v>实施问题</x:v>
      </x:c>
      <x:c r="B5" s="83" t="n">
        <x:v>0</x:v>
      </x:c>
      <x:c r="C5" s="83" t="str">
        <x:v>未检出</x:v>
      </x:c>
      <x:c r="D5" s="83" t="str">
        <x:v>—</x:v>
      </x:c>
    </x:row>
    <x:row r="6">
      <x:c r="A6" s="83" t="str">
        <x:v>公平争议/投诉维权</x:v>
      </x:c>
      <x:c r="B6" s="83" t="n">
        <x:v>0</x:v>
      </x:c>
      <x:c r="C6" s="83" t="str">
        <x:v>未检出</x:v>
      </x:c>
      <x:c r="D6" s="83" t="str">
        <x:v>—</x:v>
      </x:c>
    </x:row>
  </x:sheetData>
  <x:pageMargins left="0.7" right="0.7" top="0.75" bottom="0.75" header="0.3" footer="0.3"/>
</x:worksheet>
</file>

<file path=xl/worksheets/sheet14.xml><?xml version="1.0" encoding="utf-8"?>
<x:worksheet xmlns:x="http://schemas.openxmlformats.org/spreadsheetml/2006/main">
  <x:sheetFormatPr defaultRowHeight="13.5"/>
  <x:sheetData>
    <x:row r="1">
      <x:c r="A1" t="s">
        <x:v>417</x:v>
      </x:c>
      <x:c r="B1" t="s">
        <x:v>418</x:v>
      </x:c>
      <x:c r="C1" t="s">
        <x:v>419</x:v>
      </x:c>
      <x:c r="D1" t="s">
        <x:v>420</x:v>
      </x:c>
    </x:row>
    <x:row r="2">
      <x:c r="A2" t="s">
        <x:v>40</x:v>
      </x:c>
      <x:c r="B2">
        <x:v>5</x:v>
      </x:c>
      <x:c r="C2" t="s">
        <x:v>421</x:v>
      </x:c>
      <x:c r="D2" t="s">
        <x:v>422</x:v>
      </x:c>
    </x:row>
    <x:row r="3">
      <x:c r="A3" t="s">
        <x:v>423</x:v>
      </x:c>
      <x:c r="B3">
        <x:v>0</x:v>
      </x:c>
      <x:c r="C3" t="s">
        <x:v>424</x:v>
      </x:c>
      <x:c r="D3" t="s">
        <x:v>425</x:v>
      </x:c>
    </x:row>
    <x:row r="4">
      <x:c r="A4" t="s">
        <x:v>426</x:v>
      </x:c>
      <x:c r="B4">
        <x:v>0</x:v>
      </x:c>
      <x:c r="C4" t="s">
        <x:v>424</x:v>
      </x:c>
      <x:c r="D4" t="s">
        <x:v>425</x:v>
      </x:c>
    </x:row>
    <x:row r="5">
      <x:c r="A5" t="s">
        <x:v>427</x:v>
      </x:c>
      <x:c r="B5">
        <x:v>0</x:v>
      </x:c>
      <x:c r="C5" t="s">
        <x:v>424</x:v>
      </x:c>
      <x:c r="D5" t="s">
        <x:v>425</x:v>
      </x:c>
    </x:row>
    <x:row r="6">
      <x:c r="A6" t="s">
        <x:v>428</x:v>
      </x:c>
      <x:c r="B6">
        <x:v>0</x:v>
      </x:c>
      <x:c r="C6" t="s">
        <x:v>424</x:v>
      </x:c>
      <x:c r="D6" t="s">
        <x:v>425</x:v>
      </x:c>
    </x:row>
    <x:row r="7">
      <x:c r="A7" t="s">
        <x:v>429</x:v>
      </x:c>
      <x:c r="B7">
        <x:v>0</x:v>
      </x:c>
      <x:c r="C7" t="s">
        <x:v>424</x:v>
      </x:c>
      <x:c r="D7" t="s">
        <x:v>425</x:v>
      </x:c>
    </x:row>
    <x:row r="8">
      <x:c r="A8" t="s">
        <x:v>430</x:v>
      </x:c>
      <x:c r="B8">
        <x:v>0</x:v>
      </x:c>
      <x:c r="C8" t="s">
        <x:v>424</x:v>
      </x:c>
      <x:c r="D8" t="s">
        <x:v>425</x:v>
      </x:c>
    </x:row>
  </x:sheetData>
  <x:pageMargins left="0.7" right="0.7" top="0.75" bottom="0.75" header="0.3" footer="0.3"/>
</x:worksheet>
</file>