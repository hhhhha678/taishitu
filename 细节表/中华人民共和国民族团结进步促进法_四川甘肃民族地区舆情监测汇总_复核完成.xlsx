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71017\OneDrive\xwechat_files\wxid_b32jnlyd0gag22_b82c\msg\file\2026-08\"/>
    </mc:Choice>
  </mc:AlternateContent>
  <bookViews>
    <workbookView windowWidth="22192" windowHeight="10005" firstSheet="17" activeTab="2"/>
  </bookViews>
  <sheets>
    <sheet name="监测说明与结论" sheetId="1" r:id="rId1"/>
    <sheet name="有效舆情明细" sheetId="2" r:id="rId2"/>
    <sheet name="官方实施信息" sheetId="3" r:id="rId3"/>
    <sheet name="公众意见汇总" sheetId="4" r:id="rId4"/>
    <sheet name="排除记录" sheetId="5" r:id="rId5"/>
    <sheet name="后续复核清单" sheetId="6" r:id="rId6"/>
    <sheet name="检索日志" sheetId="7" r:id="rId7"/>
    <sheet name="扁平化数据" sheetId="8" r:id="rId8"/>
    <sheet name="关键词清单" sheetId="9" r:id="rId9"/>
    <sheet name="核验依据" sheetId="10" r:id="rId10"/>
    <sheet name="评论母帖汇总" sheetId="11" r:id="rId11"/>
    <sheet name="公众评论明细" sheetId="12" r:id="rId12"/>
    <sheet name="平台覆盖汇总" sheetId="13" r:id="rId13"/>
    <sheet name="证据材料审查" sheetId="14" r:id="rId14"/>
    <sheet name="快手重点舆情专题" sheetId="15" r:id="rId15"/>
    <sheet name="聚合评论统计" sheetId="16" r:id="rId16"/>
    <sheet name="原始链接清单" sheetId="17" r:id="rId17"/>
    <sheet name="监测统计补充" sheetId="18" r:id="rId18"/>
    <sheet name="非支持态度复核" sheetId="19" r:id="rId19"/>
    <sheet name="少数民族语言复核" sheetId="20" r:id="rId20"/>
  </sheets>
  <externalReferences>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<sst xmlns="http://schemas.openxmlformats.org/spreadsheetml/2006/main" count="7770" uniqueCount="2040">
  <si>
    <t>《中华人民共和国民族团结进步促进法》实施舆情监测汇总
（四川、甘肃民族地区）</t>
  </si>
  <si>
    <t>整理人员</t>
  </si>
  <si>
    <t>郑思语</t>
  </si>
  <si>
    <t>监测范围</t>
  </si>
  <si>
    <t>四川、甘肃民族地区政府网站、地方媒体、视频号及相关民族语言内容；同时开展抖音、微博、快手等平台的地区定向检索。</t>
  </si>
  <si>
    <t>监测边界</t>
  </si>
  <si>
    <t>全国性平台的系统性全量监测不在本分工范围内；仅纳入与四川、甘肃民族地区直接相关且可核验的内容，并与平台专项监测结果去重。</t>
  </si>
  <si>
    <t>监测时段</t>
  </si>
  <si>
    <t>2026-07-01 00:00—2026-08-05 21:35（北京时间）</t>
  </si>
  <si>
    <t>覆盖自治州</t>
  </si>
  <si>
    <t>阿坝、凉山、甘孜、临夏、甘南</t>
  </si>
  <si>
    <t>覆盖自治县</t>
  </si>
  <si>
    <t>木里、马边、峨边、北川、积石山、张家川、天祝、肃南、肃北、阿克塞、东乡</t>
  </si>
  <si>
    <t>有效舆情母帖/文章</t>
  </si>
  <si>
    <t>政府网站及地方媒体实施信息</t>
  </si>
  <si>
    <t>社交平台有效母帖</t>
  </si>
  <si>
    <t>可计入公众意见</t>
  </si>
  <si>
    <t>重点待复核事项</t>
  </si>
  <si>
    <t>暂未确认有效内容的地区数量</t>
  </si>
  <si>
    <t>监测结论</t>
  </si>
  <si>
    <t>1）共确认47条有效舆情母帖或文章，其中政府网站、地方媒体及官方公众号实施/传播信息22条，视频号、抖音、微博、快手等社交平台母帖25组。
2）共记录827条可计入公众意见：支持认可756条、咨询疑问5条、担忧影响7条、明确批评19条、投诉维权4条、实施问题24条、公平争议12条。
3）木里、马边、峨边公众号补充信息已纳入；北川已完成本轮检查，监测期内暂未发现与本法及其实施明确相关的可核验内容。
4）快手71条非支持意见已完成复核并维持分类；抖音“辫子戏严重破坏民族团结”经原视频核对和补充检索后，判断为疑似讨论清代题材电视剧或影视内容，与本法无直接关系，按无关评论排除。
5）快手彝语视频已依据自带中文字幕人工核验；其中1条彝文评论经补充核查为无实际语义的无意义评论，不再列为语言待复核项。当前重点待复核仅剩M01、M12两组藏语/藏文正文，共2项。</t>
  </si>
  <si>
    <t>链接材料完备性说明</t>
  </si>
  <si>
    <t>抖音、微博和快手的可确认原始链接均已回填；M01、M12两组重点少数民族语言视频号母帖已精确对应原始链接。其余15条视频号链接仍作为候选集合保存，不强行与其他截图一一绑定。“非支持态度复核”和“少数民族语言复核”工作表已区分已核验内容与待语言人员复核内容。</t>
  </si>
  <si>
    <t>原始链接核验情况</t>
  </si>
  <si>
    <t>25组社交平台母帖中，7组抖音、3组微博、1组快手和2组视频号（M01、M12）已精确回填原始链接；其余12组视频号母帖未进行可能导致误配的一一绑定，相关候选链接统一保存在“原始链接清单”。</t>
  </si>
  <si>
    <t>统计边界与核验原则</t>
  </si>
  <si>
    <t>平台与评论纳入口径</t>
  </si>
  <si>
    <t>政府网站、地方媒体、视频号、抖音、微博、快手等均可作为有效舆情来源。有效舆情明细记录原帖或视频母帖，公众评论明细记录逐条可核验评论；非支持态度必须保留原话、分类、原始链接和复核结果。少数民族语言内容需保留原文、中文翻译或字幕依据、翻译方式及复核状态；无法可靠确认的内容标记待相应语言人员复核，不得仅依赖机器翻译作态度判断。</t>
  </si>
  <si>
    <t>本轮补充统计</t>
  </si>
  <si>
    <t>具体监测来源数（去重）</t>
  </si>
  <si>
    <t>57个</t>
  </si>
  <si>
    <t>平台/渠道类型数</t>
  </si>
  <si>
    <t>8类</t>
  </si>
  <si>
    <t>查看信息数</t>
  </si>
  <si>
    <t>约900条/项</t>
  </si>
  <si>
    <t>民族议题相关信息数（可确认下限）</t>
  </si>
  <si>
    <t>874条</t>
  </si>
  <si>
    <t>与本法及其实施明确相关信息数</t>
  </si>
  <si>
    <t>非支持态度复核</t>
  </si>
  <si>
    <t>72条复核记录已全部完成：71条维持非支持分类，1条“辫子戏”评论判定为无关并排除</t>
  </si>
  <si>
    <t>少数民族语言复核</t>
  </si>
  <si>
    <t>4项：快手彝语视频及彝文无意义评论2项已完成复核；M01、M12两组藏语/藏文正文2项待语言人员复核</t>
  </si>
  <si>
    <t>序号</t>
  </si>
  <si>
    <t>发布日期</t>
  </si>
  <si>
    <t>采集日期</t>
  </si>
  <si>
    <t>采集来源</t>
  </si>
  <si>
    <t>平台或网站</t>
  </si>
  <si>
    <t>检索关键词</t>
  </si>
  <si>
    <t>账号或发布单位</t>
  </si>
  <si>
    <t>来源类型</t>
  </si>
  <si>
    <t>涉及地区</t>
  </si>
  <si>
    <t>省份</t>
  </si>
  <si>
    <t>行政层级</t>
  </si>
  <si>
    <t>原始语言</t>
  </si>
  <si>
    <t>中文翻译</t>
  </si>
  <si>
    <t>标题或话题</t>
  </si>
  <si>
    <t>原文证据摘录</t>
  </si>
  <si>
    <t>内容摘要</t>
  </si>
  <si>
    <t>原始链接</t>
  </si>
  <si>
    <t>关联度</t>
  </si>
  <si>
    <t>意见类型</t>
  </si>
  <si>
    <t>具体议题</t>
  </si>
  <si>
    <t>是否重复</t>
  </si>
  <si>
    <t>是否需要复核</t>
  </si>
  <si>
    <t>人工复核说明</t>
  </si>
  <si>
    <t>其他转载平台</t>
  </si>
  <si>
    <t>是否计入公众统计</t>
  </si>
  <si>
    <t>备注</t>
  </si>
  <si>
    <t>甘肃地方媒体</t>
  </si>
  <si>
    <t>甘肃经济日报</t>
  </si>
  <si>
    <t>“民族团结进步促进法”＋积石山＋天祝＋宣传；“民族团结法”＋民族广场＋群众</t>
  </si>
  <si>
    <t>媒体报道</t>
  </si>
  <si>
    <t>积石山县、天祝县及甘南州夏河县等</t>
  </si>
  <si>
    <t>甘肃</t>
  </si>
  <si>
    <t>县级（跨地区报道）</t>
  </si>
  <si>
    <t>普通话</t>
  </si>
  <si>
    <t>太平财险甘肃分公司多措并举推动民族法治宣传走深走实</t>
  </si>
  <si>
    <t>在积石山县村社广场、天祝县民族广场等地开展民族团结进步促进法宣传。</t>
  </si>
  <si>
    <t>地方媒体报道企业在积石山、天祝及甘南部分地区开展法律宣传活动。</t>
  </si>
  <si>
    <t>https://www.gsjb.com/system/2026/07/01/031393540.shtml</t>
  </si>
  <si>
    <t>A</t>
  </si>
  <si>
    <t>中性信息</t>
  </si>
  <si>
    <t>基层普法；企业参与；公共场所宣传</t>
  </si>
  <si>
    <t>否</t>
  </si>
  <si>
    <t>已打开地方媒体原始页面核验；属于地方实施报道，不是公众支持意见。</t>
  </si>
  <si>
    <t>仅属于郑思语负责的四川、甘肃地方范围</t>
  </si>
  <si>
    <t>地方政府官方网站</t>
  </si>
  <si>
    <t>张掖市人民政府/民族宗教事务委员会</t>
  </si>
  <si>
    <t>“民族团结进步促进法”＋肃南＋马背普法；“民族团结法”＋肃南＋学校＋宗教场所</t>
  </si>
  <si>
    <t>张掖市民族宗教事务委员会</t>
  </si>
  <si>
    <t>官方实施信息</t>
  </si>
  <si>
    <t>肃南裕固族自治县</t>
  </si>
  <si>
    <t>县级（上级部门发布）</t>
  </si>
  <si>
    <t>张掖市以“四个到位”推动民族团结进步促进法落地见效</t>
  </si>
  <si>
    <t>肃南县开展“马背普法”，推动法律进学校、宗教活动场所、景区和企业。</t>
  </si>
  <si>
    <t>张掖市总结法律落实工作，明确记录肃南县的马背普法及多场景宣传。</t>
  </si>
  <si>
    <t>https://www.zhangye.gov.cn/mzw/dzdt/gzdt/202607/t20260702_1560021_ghb.html</t>
  </si>
  <si>
    <t>官方政策信息</t>
  </si>
  <si>
    <t>基层普法；法律进学校；宗教场所；文化旅游</t>
  </si>
  <si>
    <t>已打开张掖市政府原始页面核验；属于肃南县相关的上级部门公开信息。</t>
  </si>
  <si>
    <t>甘南州人民政府</t>
  </si>
  <si>
    <t>“民族团结进步促进法”＋甘南＋临潭＋调研；“民族团结法”＋临潭＋基层落实</t>
  </si>
  <si>
    <t>临潭县人民政府办公室</t>
  </si>
  <si>
    <t>甘南州临潭县</t>
  </si>
  <si>
    <t>州级/县级</t>
  </si>
  <si>
    <t>张泽武在临潭县调研</t>
  </si>
  <si>
    <t>要完整准确学习贯彻民族团结进步促进法，依法规范宗教事务管理，推动寺庙管理法治化、规范化、制度化。</t>
  </si>
  <si>
    <t>张泽武在临潭县调研寺庙管理、基层治理和民生工作，要求完整准确学习贯彻该法并依法规范宗教事务管理。</t>
  </si>
  <si>
    <t>https://www.gnzrmzf.gov.cn/info/1052/81761.htm</t>
  </si>
  <si>
    <t>地方调研；基层落实；依法治理</t>
  </si>
  <si>
    <t>2026-08-05人工核验：页面已打开，发布时间为2026-07-03 10:42:58，发布单位为临潭县人民政府办公室；正文明确提到完整准确学习贯彻该法，核验通过。</t>
  </si>
  <si>
    <t>“民族团结进步促进法”＋甘南＋夏河＋调研；“民族团结法”＋夏河＋怎么落实</t>
  </si>
  <si>
    <t>甘南州夏河县</t>
  </si>
  <si>
    <t>张泽武在夏河县调研</t>
  </si>
  <si>
    <t>要深入学习贯彻民族团结进步促进法，以铸牢中华民族共同体意识为主线，强化思想政治引领。</t>
  </si>
  <si>
    <t>张泽武在夏河县拉卜楞寺、格尔德寺调研时要求深入学习贯彻该法，并结合寺庙依法管理和僧众教育推进落实。</t>
  </si>
  <si>
    <t>https://www.gnzrmzf.gov.cn/info/1052/81781.htm</t>
  </si>
  <si>
    <t>地方调研；基层治理；贯彻落实</t>
  </si>
  <si>
    <t>2026-08-05人工核验：页面已打开，发布时间为2026-07-05 09:36:48，正文明确要求深入学习贯彻该法；访问量268，核验通过。</t>
  </si>
  <si>
    <t>“民族团结进步促进法”＋甘南＋玛曲＋迭部＋舟曲；“民族团结法”＋基层落实＋督导</t>
  </si>
  <si>
    <t>甘南州玛曲县、迭部县、舟曲县</t>
  </si>
  <si>
    <t>杨振林深入玛曲迭部舟曲检查督导重点工作</t>
  </si>
  <si>
    <t>学习贯彻《中华人民共和国民族团结进步促进法》。</t>
  </si>
  <si>
    <t>督导工作中将该法学习贯彻纳入基层重点工作检查。</t>
  </si>
  <si>
    <t>https://www.gnzrmzf.gov.cn/info/1052/81782.htm</t>
  </si>
  <si>
    <t>监督检查；基层落实；干部学习</t>
  </si>
  <si>
    <t>是</t>
  </si>
  <si>
    <t>2026-08-05人工补查：原始页面仍提示 NET::ERR_CERT_COMMON_NAME_INVALID，无法安全打开正文；暂仅依据标题和搜索索引保留，继续寻找官方转载。</t>
  </si>
  <si>
    <t>地方政府部门网站</t>
  </si>
  <si>
    <t>甘南州农业农村局</t>
  </si>
  <si>
    <t>“民族团结进步促进法”＋甘南＋农业农村局＋专题学习；“民族团结法”＋干部学习</t>
  </si>
  <si>
    <t>甘南州农业农村局（来源：局机关党委）</t>
  </si>
  <si>
    <t>甘南藏族自治州</t>
  </si>
  <si>
    <t>州级</t>
  </si>
  <si>
    <t>州农业农村局党组理论学习中心组第七次学习（扩大）会议专题学习习近平关于加强和改进民族工作重要思想</t>
  </si>
  <si>
    <t>深入学习贯彻习近平总书记关于铸牢中华民族共同体意识重要论述精神和《中华人民共和国民族团结进步促进法》。</t>
  </si>
  <si>
    <t>甘南州农业农村局专题学习该法，并从理论武装、产业发展和各民族交往交流交融三个方面部署落实。</t>
  </si>
  <si>
    <t>https://nync.gnzrmzf.gov.cn/info/1105/23100.htm</t>
  </si>
  <si>
    <t>部门学习；干部培训；普法宣传</t>
  </si>
  <si>
    <t>2026-08-05人工核验：页面截图和正文已保存，发布时间2026-07-07，作者为州农业农村局、来源为局机关党委；正文明确学习贯彻该法，核验通过。</t>
  </si>
  <si>
    <t>地方党委部门网站</t>
  </si>
  <si>
    <t>张掖市委统战部</t>
  </si>
  <si>
    <t>“民族团结进步促进法”＋肃南＋民族宗教工作；“民族团结法”＋肃南＋宗教界＋学习</t>
  </si>
  <si>
    <t>武冰调研肃南县民族宗教工作</t>
  </si>
  <si>
    <t>引导宗教界人士学习民族团结进步促进法。</t>
  </si>
  <si>
    <t>调研肃南县民族宗教工作，提出面向宗教界开展该法学习。</t>
  </si>
  <si>
    <t>https://tzb.zhangye.gov.cn/tzyw/202607/t20260707_1560934.html</t>
  </si>
  <si>
    <t>宗教界学法；基层治理；调研部署</t>
  </si>
  <si>
    <t>2026-08-05人工补查：原始页面仍提示 NET::ERR_CERT_COMMON_NAME_INVALID，无法安全打开全文；继续寻找肃南发布、肃南融媒或其他官方转载。</t>
  </si>
  <si>
    <t>甘孜州经济和信息化局</t>
  </si>
  <si>
    <t>“民族团结进步促进法”＋甘孜＋贯彻落实；“民族团结法”＋甘孜＋基层治理</t>
  </si>
  <si>
    <t>甘孜州经济和信息化局；中国甘孜（来源：康巴传媒）</t>
  </si>
  <si>
    <t>甘孜藏族自治州（康定市、道孚县）</t>
  </si>
  <si>
    <t>四川</t>
  </si>
  <si>
    <t>赵波在康定市道孚县调研时强调：以更务实作风更有力举措推动各项工作落地见效</t>
  </si>
  <si>
    <t>学习贯彻好《宗教事务条例》《中华人民共和国民族团结进步促进法》等法律法规；面对面向寺管会干部、寺庙僧尼宣讲该法核心要义。</t>
  </si>
  <si>
    <t>赵波赴康定市、道孚县调研寺庙依法管理等工作，在扎西寺要求宗教界学习贯彻该法，并在铜佛山觉姆寺面对面宣讲法律核心要义。</t>
  </si>
  <si>
    <t>https://jxj.gzz.gov.cn/jxyw/article/722092</t>
  </si>
  <si>
    <t>地方贯彻；基层治理；干部学习</t>
  </si>
  <si>
    <t>2026-08-05人工核验：政府网页及微信公众号“中国甘孜”同文内容均已核对。公众号发布时间为2026-07-09 17:31，来源为康巴传媒，页面显示阅读820、无留言；正文明确要求学习贯彻该法并在道孚县寺庙宣讲核心要义。</t>
  </si>
  <si>
    <t>微信公众号“中国甘孜”，2026-07-09 17:31，阅读820，无留言</t>
  </si>
  <si>
    <t>阿坝州人民政府</t>
  </si>
  <si>
    <t>“民族团结进步促进法”＋阿坝＋公开征求意见；“民族团结法”＋阿坝＋藏语言文字＋群众意见</t>
  </si>
  <si>
    <t>阿坝州民族宗教事务委员会</t>
  </si>
  <si>
    <t>阿坝藏族羌族自治州</t>
  </si>
  <si>
    <t>关于公开征求《阿坝藏族羌族自治州藏语言文字条例（修订）（草案）》（征求意见稿）意见的公示</t>
  </si>
  <si>
    <t>为贯彻实施《中华人民共和国民族团结进步促进法》……现向社会公开征求意见。</t>
  </si>
  <si>
    <t>阿坝州拟修订藏语言文字条例，公开征求社会意见，征求期为2026年7月15日至8月13日。</t>
  </si>
  <si>
    <t>https://www.abazhou.gov.cn/abazhou/c101961/202608/adffe3b9ac4c46e0a0cd36167b5f6890.shtml</t>
  </si>
  <si>
    <t>地方配套法规；民族语言文字；公众参与；意见征集</t>
  </si>
  <si>
    <t>已打开原始页面，标题、时间、发布单位和征求意见渠道可核验。</t>
  </si>
  <si>
    <t>地方人大官方网站（官方转载）</t>
  </si>
  <si>
    <t>临夏州人大常委会</t>
  </si>
  <si>
    <t>“民族团结进步促进法”＋临夏＋典型案例；“民族团结法”＋临夏＋怎么执行＋政府回应</t>
  </si>
  <si>
    <t>甘肃人大网（临夏州人大转载）</t>
  </si>
  <si>
    <t>官方转载/实施信息</t>
  </si>
  <si>
    <t>临夏回族自治州（含积石山县）</t>
  </si>
  <si>
    <t>临夏回族自治州创建全国民族团结进步示范区工作典型案例</t>
  </si>
  <si>
    <t>发布时间为2026年7月23日，页面标注来源为甘肃人大网；正文写明“7月1日，《中华人民共和国民族团结进步促进法》正式实施”。</t>
  </si>
  <si>
    <t>临夏州人大网站转载甘肃人大网典型案例，以该法7月1日正式实施为发布节点，介绍临夏州民族团结进步示范区建设经验。</t>
  </si>
  <si>
    <t>https://www.lxzrdw.gov.cn/Article/Content?ItemID=2ee4fdeb-59c9-4478-b4bb-6b22e506e465</t>
  </si>
  <si>
    <t>典型案例；地方实施；示范创建</t>
  </si>
  <si>
    <t>是（官方转载）</t>
  </si>
  <si>
    <t>2026-08-05人工核验：页面已成功打开；发布时间2026-07-23，页面标注来源为甘肃人大网；正文明确以7月1日该法正式实施为时间节点。属于官方转载/实施案例，不计入公众意见。</t>
  </si>
  <si>
    <t>甘肃人大网（页面标注原始来源）</t>
  </si>
  <si>
    <t>微信公众号人工核验</t>
  </si>
  <si>
    <t>微信公众号“微阿坝”</t>
  </si>
  <si>
    <t>微阿坝＋中华人民共和国民族团结进步促进法；漫读学习会</t>
  </si>
  <si>
    <t>微阿坝；阿坝州民族团结进步创建工作领导小组办公室</t>
  </si>
  <si>
    <t>图解｜中华人民共和国民族团结进步促进法（漫读学习会系列）</t>
  </si>
  <si>
    <t>以漫读学习会形式连续图解构筑共有精神家园、促进交往交流交融、推动共同繁荣发展、保障与监督等内容。</t>
  </si>
  <si>
    <t>微阿坝以系列图解形式开展该法普法宣传，材料中可见至少第一至第五期，页面标注无评论。</t>
  </si>
  <si>
    <t>待从微信客户端复制原始链接（已保存截图）</t>
  </si>
  <si>
    <t>图解普法；系列宣传；交往交流交融；共同繁荣；保障监督</t>
  </si>
  <si>
    <t>是（系列内容合并记录）</t>
  </si>
  <si>
    <t>账号、标题和发布时间已通过截图核验；页面标注来源为阿坝州民族团结进步创建工作领导小组办公室、无评论。仍需补复制原始文章链接。</t>
  </si>
  <si>
    <t>系列内容只保留一条代表记录</t>
  </si>
  <si>
    <t>微信公众号“临夏州民委”</t>
  </si>
  <si>
    <t>临夏州民委＋每日一学＋促进交往交流交融</t>
  </si>
  <si>
    <t>临夏州民委</t>
  </si>
  <si>
    <t>临夏回族自治州</t>
  </si>
  <si>
    <t>【民族团结进步促进法】每日一学｜促进交往交流交融（二十三）</t>
  </si>
  <si>
    <t>以“每日一学”形式解读促进交往交流交融等法律内容。</t>
  </si>
  <si>
    <t>临夏州民委持续发布“每日一学”普法专栏；本表仅保留第23期作为代表性记录，页面显示无留言。</t>
  </si>
  <si>
    <t>每日一学；系列普法；交往交流交融</t>
  </si>
  <si>
    <t>是（系列代表记录）</t>
  </si>
  <si>
    <t>账号、标题和发布时间已通过截图核验，页面显示无留言；仍需补复制原始文章链接。</t>
  </si>
  <si>
    <t>不逐期重复录入</t>
  </si>
  <si>
    <t>“民族团结进步促进法”＋阿坝＋检察工作；“民族团结法”＋阿坝＋依法治理民族事务</t>
  </si>
  <si>
    <t>阿坝州人民政府办公室</t>
  </si>
  <si>
    <t>应勇率最高检调研组在四川阿坝调研</t>
  </si>
  <si>
    <t>认真贯彻民族团结进步促进法。</t>
  </si>
  <si>
    <t>最高检调研组在阿坝调研检察工作，强调依法治理民族事务和贯彻实施该法。</t>
  </si>
  <si>
    <t>https://www.abazhou.gov.cn/abazhou/c101955/202607/87b0523ffc934c629281d33b8c569fb2.shtml</t>
  </si>
  <si>
    <t>司法落实；依法治理民族事务</t>
  </si>
  <si>
    <t>已打开阿坝州政府原始页面核验。</t>
  </si>
  <si>
    <t>省级民族事务部门网站（地方稿源）</t>
  </si>
  <si>
    <t>甘肃省民族事务委员会</t>
  </si>
  <si>
    <t>“民族团结进步促进法”＋肃北＋落地答卷；“民族团结法”＋肃北＋基层治理＋落实</t>
  </si>
  <si>
    <t>肃北县委统战部</t>
  </si>
  <si>
    <t>肃北蒙古族自治县</t>
  </si>
  <si>
    <t>县级</t>
  </si>
  <si>
    <t>肃北县以实干“进行时”书写民族团结进步促进法“落地答卷”</t>
  </si>
  <si>
    <t>页面显示日期2026-07-29、来源为肃北县委统战部；正文介绍制定学习宣传贯彻该法工作方案，并依托“肃北发布”“肃北统一战线”“看这里是肃北”推送“法促团结·每日一学”等内容。</t>
  </si>
  <si>
    <t>肃北县系统介绍该法施行后的组织学习、工作方案、线上线下普法、双语宣讲、马背宣讲和基层治理实践。</t>
  </si>
  <si>
    <t>https://mzsw.gansu.gov.cn/mzsw/c109565/202607/174372364.shtml</t>
  </si>
  <si>
    <t>县级综合落实；基层治理；宣传教育</t>
  </si>
  <si>
    <t>2026-08-05人工核验：原始页面已成功打开；标题、日期（2026-07-29）、来源（肃北县委统战部）和正文均可核验，明确讨论该法施行后的地方落实，核验通过；未发现可单独统计的公众原创意见。</t>
  </si>
  <si>
    <t>微信公众号“中国甘孜”</t>
  </si>
  <si>
    <t>中国甘孜＋民族团结进步促进法；赵波＋德格＋更庆寺</t>
  </si>
  <si>
    <t>中国甘孜（来源：康巴传媒）</t>
  </si>
  <si>
    <t>甘孜藏族自治州德格县</t>
  </si>
  <si>
    <t>州级账号/县级地区</t>
  </si>
  <si>
    <t>赵波在德格县调研时强调：坚持因地制宜精准施策，着力促进高质量发展高水平保护高效能治理良性互动</t>
  </si>
  <si>
    <t>在更庆寺详细了解学习宣传贯彻《中华人民共和国民族团结进步促进法》等情况。</t>
  </si>
  <si>
    <t>赵波在德格县更庆寺调研寺庙依法管理和僧人学修保障，要求常态化学习法律法规并提升宗教事务治理法治化水平。</t>
  </si>
  <si>
    <t>寺庙依法管理；宗教界学法；国家通用语言文字；基层治理</t>
  </si>
  <si>
    <t>文章标题、账号、发布时间、来源和正文已通过截图核验；页面显示阅读798、无留言。仍需从微信客户端复制可核验原始链接。</t>
  </si>
  <si>
    <t>地方公众号官方实施信息</t>
  </si>
  <si>
    <t>临夏州民委＋民族团结进步促进法＋学习宣传贯彻；临夏州＋19项任务</t>
  </si>
  <si>
    <t>临夏州多维发力推动民族团结进步促进法学习宣传贯彻工作</t>
  </si>
  <si>
    <t>制定印发实施方案，明确19项具体任务；开展百场次4万余人宣讲，并在8县市32个场所开展法治集中宣讲。</t>
  </si>
  <si>
    <t>临夏州从高位部署、融媒宣传、分层宣讲和重点任务融合四方面推进该法落实，明确19项任务，开展百场万人宣讲、线上宣传和学校培训。</t>
  </si>
  <si>
    <t>实施方案；19项任务；融媒宣传；百场万人宣讲；学校教育；基层治理</t>
  </si>
  <si>
    <t>正文内容、发布账号和无留言状态已通过截图核验；仍需补充准确发布时间和原始文章链接。</t>
  </si>
  <si>
    <t>重点地方实施信息</t>
  </si>
  <si>
    <t>微信公众号“凉山发布”</t>
  </si>
  <si>
    <t>凉山发布＋民族团结进步促进法；州委常委会＋7月17日</t>
  </si>
  <si>
    <t>凉山发布（来源：凉山州新闻传媒中心）</t>
  </si>
  <si>
    <t>凉山彝族自治州</t>
  </si>
  <si>
    <t>州委常委会召开会议 传达学习习近平总书记重要讲话重要指示精神</t>
  </si>
  <si>
    <t>会前，与会同志学习了《中华人民共和国民族团结进步促进法》。</t>
  </si>
  <si>
    <t>凉山州委常委会会议前组织学习该法，属于州级官方学习贯彻信息。</t>
  </si>
  <si>
    <t>州委常委会学习；干部学习；地方贯彻</t>
  </si>
  <si>
    <t>正文和来源单位已通过截图核验，会议日期为7月17日；仍需补充公众号准确发布时间和原始链接。</t>
  </si>
  <si>
    <t>发布日期暂留空，不能用会议日期替代文章发布时间</t>
  </si>
  <si>
    <t>视频号人工核验</t>
  </si>
  <si>
    <t>视频号</t>
  </si>
  <si>
    <t>民族团结进步促进法＋甘南＋藏语＋视频号评论</t>
  </si>
  <si>
    <t>甘南融媒藏语平台</t>
  </si>
  <si>
    <t>社交平台母帖（官方/融媒账号）</t>
  </si>
  <si>
    <t>藏语/藏文</t>
  </si>
  <si>
    <t>中华人民共和国民族团结进步促进法（第一期）</t>
  </si>
  <si>
    <t>截图中的账号、标题或画面明确出现《中华人民共和国民族团结进步促进法》；页面显示评论总数4条，其中有效支持4条。</t>
  </si>
  <si>
    <t>甘南融媒藏语平台在视频号发布与本法直接相关的系列普法；法律解读内容。该母帖纳入有效舆情，具体公众评论在“公众评论明细”中逐条记录。</t>
  </si>
  <si>
    <t>https://weixin.qq.com/sph/AtykZndKEg</t>
  </si>
  <si>
    <t>官方传播信息</t>
  </si>
  <si>
    <t>系列普法；法律解读</t>
  </si>
  <si>
    <t>母帖和4条评论已通过截图核验；M01原始链接已精确对应。中文标题明确涉及本法；藏语/藏文正文具体语义待藏语人员复核。4条评论均为表情型支持，态度判断不依赖藏语正文。</t>
  </si>
  <si>
    <t>母帖计入有效舆情；评论不在本表重复计数。</t>
  </si>
  <si>
    <t>民族团结进步促进法全文＋临夏＋视频号评论</t>
  </si>
  <si>
    <t>临夏市融媒体中心</t>
  </si>
  <si>
    <t>临夏回族自治州临夏市</t>
  </si>
  <si>
    <t>7月1日起，《中华人民共和国民族团结进步促进法》正式施行（视频解读）</t>
  </si>
  <si>
    <t>截图中的账号、标题或画面明确出现《中华人民共和国民族团结进步促进法》；页面显示评论总数3条，其中有效支持2条。</t>
  </si>
  <si>
    <t>临夏市融媒体中心在视频号发布与本法直接相关的法律施行；普法解读内容。该母帖纳入有效舆情，具体公众评论在“公众评论明细”中逐条记录。</t>
  </si>
  <si>
    <t>已收集视频号原始链接集合，但与此前截图未逐条对应；见“原始链接清单”</t>
  </si>
  <si>
    <t>法律施行；普法解读</t>
  </si>
  <si>
    <t>2条表情支持计入；1条复制母帖全文的评论排除。准确发布日期仍需复核。 母帖已通过截图人工核验；评论见“公众评论明细”；视频号链接已提供但未与截图逐条对应。</t>
  </si>
  <si>
    <t>民族团结进步促进法＋临夏＋核心内容＋评论</t>
  </si>
  <si>
    <t>《中华人民共和国民族团结进步促进法》7月1日起施行（核心内容解读）</t>
  </si>
  <si>
    <t>截图中的账号、标题或画面明确出现《中华人民共和国民族团结进步促进法》；页面显示评论总数8条，其中有效支持7条。</t>
  </si>
  <si>
    <t>1条复制母帖文案的评论排除，7条正向评论计入。其中原截图未完整展开的2条评论均确认为点赞表情，支持态度可以确认；母帖已通过截图核验，视频号链接仍未与截图逐条对应。</t>
  </si>
  <si>
    <t>民族团结进步促进法＋临夏＋基层宣讲＋评论</t>
  </si>
  <si>
    <t>法治宣传进基层 同心浇灌石榴花——民族团结进步促进法专题宣讲活动</t>
  </si>
  <si>
    <t>截图中的账号、标题或画面明确出现《中华人民共和国民族团结进步促进法》；页面显示评论总数7条，其中有效支持6条。</t>
  </si>
  <si>
    <t>临夏市融媒体中心在视频号发布与本法直接相关的基层宣讲；普法活动内容。该母帖纳入有效舆情，具体公众评论在“公众评论明细”中逐条记录。</t>
  </si>
  <si>
    <t>基层宣讲；普法活动</t>
  </si>
  <si>
    <t>6条点赞、爱心类支持计入；顶部1条母帖文案型评论不计。准确发布日期仍需复核。 母帖已通过截图人工核验；评论见“公众评论明细”；视频号链接已提供但未与截图逐条对应。</t>
  </si>
  <si>
    <t>微信公众号/视频号人工核验</t>
  </si>
  <si>
    <t>微信公众号/视频号</t>
  </si>
  <si>
    <t>民族团结进步促进法＋肃北＋马鬃山＋评论</t>
  </si>
  <si>
    <t>肃北融媒（肃北县融媒体中心）</t>
  </si>
  <si>
    <t>“法润陇原·同心固边”——“法治边疆行”暨《中华人民共和国民族团结进步促进法》宣传活动在肃北县马鬃山镇启动</t>
  </si>
  <si>
    <t>截图中的账号、标题或画面明确出现《中华人民共和国民族团结进步促进法》；页面显示评论总数2条，其中有效支持2条。</t>
  </si>
  <si>
    <t>肃北融媒（肃北县融媒体中心）在微信公众号/视频号发布与本法直接相关的基层宣讲；普法活动内容。该母帖纳入有效舆情，具体公众评论在“公众评论明细”中逐条记录。</t>
  </si>
  <si>
    <t>是（公众号/视频号同一内容入口）</t>
  </si>
  <si>
    <t>公众号文章、视频和评论均已截图核验；同一条“赞”在两张截图中重复出现，仅计一次。视频号链接仅作候选集合。 母帖已通过截图人工核验；评论见“公众评论明细”；视频号链接已提供但未与截图逐条对应。</t>
  </si>
  <si>
    <t>民族团结进步促进法解读＋肃北＋群团组织＋评论</t>
  </si>
  <si>
    <t>看这里是肃北</t>
  </si>
  <si>
    <t>基层群团组织依法履行民族团结责任（民族团结进步促进法解读）</t>
  </si>
  <si>
    <t>截图中的账号、标题或画面明确出现《中华人民共和国民族团结进步促进法》；页面显示评论总数1条，其中有效支持1条。</t>
  </si>
  <si>
    <t>看这里是肃北在视频号发布与本法直接相关的基层宣讲；普法活动内容。该母帖纳入有效舆情，具体公众评论在“公众评论明细”中逐条记录。</t>
  </si>
  <si>
    <t>文字型支持评论已截图核验；视频号链接仅作候选集合和准确发布日期。 母帖已通过截图人工核验；评论见“公众评论明细”；视频号链接已提供但未与截图逐条对应。</t>
  </si>
  <si>
    <t>民族团结进步促进法的解读＋肃北＋第八期＋评论</t>
  </si>
  <si>
    <t>肃北县融媒体中心</t>
  </si>
  <si>
    <t>解读｜中华人民共和国民族团结进步促进法（八）</t>
  </si>
  <si>
    <t>肃北县融媒体中心在视频号发布与本法直接相关的法律解读；社交平台传播内容。该母帖纳入有效舆情，具体公众评论在“公众评论明细”中逐条记录。</t>
  </si>
  <si>
    <t>法律解读；社交平台传播</t>
  </si>
  <si>
    <t>评论内容已截图核验；视频号链接仅作候选集合和准确发布日期。 母帖已通过截图人工核验；评论见“公众评论明细”；视频号链接已提供但未与截图逐条对应。</t>
  </si>
  <si>
    <t>民族团结促进法主要内容＋肃北＋第十九期＋评论</t>
  </si>
  <si>
    <t>解读｜中华人民共和国民族团结进步促进法（十九）</t>
  </si>
  <si>
    <t>2条支持评论已截图核验；视频号链接仅作候选集合和准确发布日期。 母帖已通过截图人工核验；评论见“公众评论明细”；视频号链接已提供但未与截图逐条对应。</t>
  </si>
  <si>
    <t>民族团结进步促进法解读＋肃北＋第十四期＋评论</t>
  </si>
  <si>
    <t>解读｜中华人民共和国民族团结进步促进法（十四）</t>
  </si>
  <si>
    <t>民族团结促进法的意义＋肃北＋雪域普法＋评论</t>
  </si>
  <si>
    <t>雪域普法微课堂第三期——各民族文化共生共荣，依法守护多元文脉</t>
  </si>
  <si>
    <t>看这里是肃北在视频号发布与本法直接相关的系列普法；法律解读内容。该母帖纳入有效舆情，具体公众评论在“公众评论明细”中逐条记录。</t>
  </si>
  <si>
    <t>短语型支持评论已截图核验；视频号链接仅作候选集合和准确发布日期。 母帖已通过截图人工核验；评论见“公众评论明细”；视频号链接已提供但未与截图逐条对应。</t>
  </si>
  <si>
    <t>学习民族团结进步促进法＋阿坝＋视频号评论</t>
  </si>
  <si>
    <t>阿坝鼓声</t>
  </si>
  <si>
    <t>普通话/藏文</t>
  </si>
  <si>
    <t>【法治护航民族团结 同心共筑美好阿坝】民族地区高质量发展｜各族共同走向现代化（16）</t>
  </si>
  <si>
    <t>截图中的账号、标题或画面明确出现《中华人民共和国民族团结进步促进法》；页面显示评论总数3条，其中有效支持3条。</t>
  </si>
  <si>
    <t>阿坝鼓声在视频号发布与本法直接相关的法律宣传；社交平台传播内容。该母帖纳入有效舆情，具体公众评论在“公众评论明细”中逐条记录。</t>
  </si>
  <si>
    <t>https://weixin.qq.com/sph/An9TpnhX6uz</t>
  </si>
  <si>
    <t>法律宣传；社交平台传播</t>
  </si>
  <si>
    <t>母帖和3条评论已通过截图核验；M12原始链接已精确对应。中文标题及页面说明明确涉及本法；藏文具体内容待藏语人员复核。3条评论均为点赞表情，态度判断不依赖藏文内容。</t>
  </si>
  <si>
    <t>民族团结进步促进法＋东乡＋基层宣讲＋评论</t>
  </si>
  <si>
    <t>视听东乡</t>
  </si>
  <si>
    <t>东乡族自治县</t>
  </si>
  <si>
    <t>民族团结进步促进法进基层宣讲活动走进东乡县</t>
  </si>
  <si>
    <t>截图中的账号、标题或画面明确出现《中华人民共和国民族团结进步促进法》；页面显示评论总数7条，其中有效支持7条。</t>
  </si>
  <si>
    <t>视听东乡在视频号发布与本法直接相关的基层宣讲；普法活动内容。该母帖纳入有效舆情，具体公众评论在“公众评论明细”中逐条记录。</t>
  </si>
  <si>
    <t>7条表情型支持评论已截图核验；视频号链接仅作候选集合。 母帖已通过截图人工核验；评论见“公众评论明细”；视频号链接已提供但未与截图逐条对应。</t>
  </si>
  <si>
    <t>民族团结促进法宣讲＋临夏县＋评论</t>
  </si>
  <si>
    <t>临夏县融媒体中心</t>
  </si>
  <si>
    <t>临夏回族自治州临夏县</t>
  </si>
  <si>
    <t>【铸牢中华民族共同体意识】临夏县开展民族团结进步促进法专题宣讲活动</t>
  </si>
  <si>
    <t>临夏县融媒体中心在视频号发布与本法直接相关的基层宣讲；普法活动内容。该母帖纳入有效舆情，具体公众评论在“公众评论明细”中逐条记录。</t>
  </si>
  <si>
    <t>4条表情型支持评论已截图核验；视频号链接仅作候选集合。 母帖已通过截图人工核验；评论见“公众评论明细”；视频号链接已提供但未与截图逐条对应。</t>
  </si>
  <si>
    <t>抖音人工核验</t>
  </si>
  <si>
    <t>抖音</t>
  </si>
  <si>
    <t>民族团结进步促进法＋临夏＋抖音＋评论</t>
  </si>
  <si>
    <t>解读《中华人民共和国民族团结进步促进法》——7月1日起正式施行</t>
  </si>
  <si>
    <t>临夏市融媒体中心在抖音发布与本法直接相关的法律施行；普法解读内容。该母帖纳入有效舆情，具体公众评论在“公众评论明细”中逐条记录。</t>
  </si>
  <si>
    <t>https://v.douyin.com/li1SubESsUQ/</t>
  </si>
  <si>
    <t>是（与同账号视频号内容主题相近）</t>
  </si>
  <si>
    <t>7条评论均为点赞、奖牌或正向文字表态；原始链接已回填及评论准确日期。 母帖已通过截图人工核验；评论见“公众评论明细”。</t>
  </si>
  <si>
    <t>同账号视频号相关母帖</t>
  </si>
  <si>
    <t>民族团结进步促进法＋临夏＋依法保障合法权益＋抖音评论</t>
  </si>
  <si>
    <t>《中华人民共和国民族团结进步促进法》7月1日起施行——依法保障各族群众合法权益</t>
  </si>
  <si>
    <t>https://v.douyin.com/1RcSEMe78HM/</t>
  </si>
  <si>
    <t>7条支持认可计入；1条“助学贷款什么时候开始”与母帖法律议题无关，已排除。另有1条支持评论在截图底部未完整显示。 母帖已通过截图人工核验；评论见“公众评论明细”。</t>
  </si>
  <si>
    <t>如意普法＋民族团结进步促进法＋甘肃省民委＋抖音评论</t>
  </si>
  <si>
    <t>甘肃省（省级账号）</t>
  </si>
  <si>
    <t>省级</t>
  </si>
  <si>
    <t>《如意普法》系列短视频第二集｜AI趣味解读《中华人民共和国民族团结进步促进法》</t>
  </si>
  <si>
    <t>甘肃省民族事务委员会在抖音发布与本法直接相关的系列普法；法律解读内容。该母帖纳入有效舆情，具体公众评论在“公众评论明细”中逐条记录。</t>
  </si>
  <si>
    <t>https://v.douyin.com/LtghgvT9PjY/</t>
  </si>
  <si>
    <t>1条点赞评论计入支持认可；原始链接已回填，评论准确日期仍待核实。母帖已通过截图人工核验；评论见“公众评论明细”。</t>
  </si>
  <si>
    <t>民族团结进步促进法今日起施行＋甘肃省民委＋抖音评论</t>
  </si>
  <si>
    <t>《中华人民共和国民族团结进步促进法》今日起施行</t>
  </si>
  <si>
    <t>甘肃省民族事务委员会在抖音发布与本法直接相关的法律施行；普法解读内容。该母帖纳入有效舆情，具体公众评论在“公众评论明细”中逐条记录。</t>
  </si>
  <si>
    <t>https://v.douyin.com/WgF-nVQT9RY/</t>
  </si>
  <si>
    <t>1条合十表情评论计入支持认可；原始链接已回填，评论准确日期仍待核实。母帖已通过截图人工核验；评论见“公众评论明细”。</t>
  </si>
  <si>
    <t>民族团结进步促进法＋广河＋重点解读＋抖音评论</t>
  </si>
  <si>
    <t>广河县融媒体中心</t>
  </si>
  <si>
    <t>临夏回族自治州广河县</t>
  </si>
  <si>
    <t>《中华人民共和国民族团结进步促进法》重点来了</t>
  </si>
  <si>
    <t>截图中的账号、标题或画面明确出现《中华人民共和国民族团结进步促进法》；页面显示评论总数2条，其中有效支持1条。</t>
  </si>
  <si>
    <t>广河县融媒体中心在抖音发布与本法直接相关的法律解读内容。评论区1条点赞评论计入支持认可；另1条“辫子戏严重破坏民族团结”经原视频核对及补充检索后，判断为疑似讨论清代题材电视剧或影视内容，与本法及其实施无直接关系，按无关评论排除。</t>
  </si>
  <si>
    <t>https://v.douyin.com/MPBliIMpXZQ/</t>
  </si>
  <si>
    <t>法律解读；社交平台传播；待复核线索</t>
  </si>
  <si>
    <t>已重新核对原视频，视频正文未提及“辫子戏”；补充检索显示该说法可能指清代题材电视剧或影视内容。该评论不属于本法相关公众意见，已完成复核并排除。</t>
  </si>
  <si>
    <t>如意普法＋民族团结进步促进法＋甘肃省民委＋第四集＋评论</t>
  </si>
  <si>
    <t>《如意普法》系列短视频第四集｜AI趣味解读《中华人民共和国民族团结进步促进法》</t>
  </si>
  <si>
    <t>截图中的账号、标题或画面明确出现《中华人民共和国民族团结进步促进法》；页面显示评论总数4条，其中有效支持1条。</t>
  </si>
  <si>
    <t>https://v.douyin.com/LnUwD09PU2A/</t>
  </si>
  <si>
    <t>1条“民族团结一家亲”正向评论计入；玩偶、空白@和领奖消息3条与法律议题无关，已排除。 母帖已通过截图人工核验；评论见“公众评论明细”。</t>
  </si>
  <si>
    <t>民族团结进步促进法＋张家川＋序言与总则＋抖音评论</t>
  </si>
  <si>
    <t>张家川融媒</t>
  </si>
  <si>
    <t>张家川回族自治县</t>
  </si>
  <si>
    <t>《中华人民共和国民族团结进步促进法》序言与总则篇导读</t>
  </si>
  <si>
    <t>截图中的账号、标题或画面明确出现《中华人民共和国民族团结进步促进法》；页面显示评论总数1条，其中有效支持0条。</t>
  </si>
  <si>
    <t>张家川融媒在抖音发布与本法直接相关的条文导读；法律解读内容。该母帖纳入有效舆情，具体公众评论在“公众评论明细”中逐条记录。</t>
  </si>
  <si>
    <t>https://v.douyin.com/MZnyZuuFxYA/</t>
  </si>
  <si>
    <t>条文导读；法律解读</t>
  </si>
  <si>
    <t>唯一评论“我可没惹谁哈🌹🌹”语义不明，无法确认与法律内容的关系，未计入公众意见。 母帖已通过截图人工核验；评论见“公众评论明细”。</t>
  </si>
  <si>
    <t>民族团结进步促进法＋四川＋今起施行＋评论</t>
  </si>
  <si>
    <t>同心四川</t>
  </si>
  <si>
    <t>社交平台母帖（省级官方账号）</t>
  </si>
  <si>
    <t>四川省（省级账号）</t>
  </si>
  <si>
    <t>《中华人民共和国民族团结进步促进法》今起施行，系统护航新时代民族团结进步事业</t>
  </si>
  <si>
    <t>母帖明确写明该法“今起施行”，评论区显示7条正向表情评论。</t>
  </si>
  <si>
    <t>四川省级账号转发权威法律施行信息，7条评论均表达支持认可。</t>
  </si>
  <si>
    <t>法律施行；省级宣传</t>
  </si>
  <si>
    <t>母帖及7条评论已通过截图核验；视频号链接仅作候选集合；视频号链接已提供但未与截图逐条对应。</t>
  </si>
  <si>
    <t>母帖计入有效舆情；评论在公众评论明细中逐条统计。</t>
  </si>
  <si>
    <t>微博人工核验</t>
  </si>
  <si>
    <t>微博</t>
  </si>
  <si>
    <t>民族团结进步促进法＋积石山＋西北民族大学＋评论</t>
  </si>
  <si>
    <t>西北民族大学</t>
  </si>
  <si>
    <t>社交平台母帖（高校认证账号）</t>
  </si>
  <si>
    <t>积石山保安族东乡族撒拉族自治县</t>
  </si>
  <si>
    <t>高校账号/县级地区</t>
  </si>
  <si>
    <t>赴积石山县“普语促振兴，雅韵凝同心”推广国家通用语言文字社会实践活动</t>
  </si>
  <si>
    <t>正文明确写明宣讲《国家通用语言文字法》和《民族团结进步促进法》，并走访调研群众普通话使用现状。</t>
  </si>
  <si>
    <t>西北民族大学在积石山县开展普法和语言文字社会实践；截图可见3条支持评论。</t>
  </si>
  <si>
    <t>https://weibo.com/2667176841/Rb5Ensoea?refer_flag=1001030103_</t>
  </si>
  <si>
    <t>机构传播信息</t>
  </si>
  <si>
    <t>高校社会实践；普法宣传；语言文字</t>
  </si>
  <si>
    <t>母帖、4条可见评论已核验；其余5条未展开，原始链接已回填。</t>
  </si>
  <si>
    <t>母帖计入有效舆情；3条公众意见逐条统计。</t>
  </si>
  <si>
    <t>民族团结进步促进法＋肃北＋落地答卷＋评论</t>
  </si>
  <si>
    <t>酒泉市融媒体中心</t>
  </si>
  <si>
    <t>社交平台母帖（地方媒体账号）</t>
  </si>
  <si>
    <t>地级市媒体账号/县级地区</t>
  </si>
  <si>
    <t>【法治“入场” 团结“出圈”——肃北县以实干“进行时”书写民族团结进步促进法“落地答卷”】</t>
  </si>
  <si>
    <t>正文明确介绍肃北县贯彻落实该法并与全国民族团结进步示范县建设深度融合。</t>
  </si>
  <si>
    <t>酒泉市融媒体中心报道肃北县法律落实情况；2条评论未形成可明确分类的公众意见。</t>
  </si>
  <si>
    <t>https://weibo.com/7454129088/RajKUxzeN?refer_flag=1001030103_</t>
  </si>
  <si>
    <t>媒体传播信息</t>
  </si>
  <si>
    <t>肃北落实；基层治理；法治宣传</t>
  </si>
  <si>
    <t>母帖内容清晰；1条可见评论仅为地点短语，另1条未展开，原始链接已回填。</t>
  </si>
  <si>
    <t>母帖计入有效舆情，但当前没有可计入公众统计的评论。</t>
  </si>
  <si>
    <t>民族团结进步促进法＋甘肃法治报＋法润石榴花＋评论</t>
  </si>
  <si>
    <t>甘肃法治报</t>
  </si>
  <si>
    <t>社交平台母帖（省级媒体账号）</t>
  </si>
  <si>
    <t>甘肃省（省级媒体账号）</t>
  </si>
  <si>
    <t>第四届“法润石榴花 幸福千万家”全媒体主题宣传活动暨民族团结进步促进法宣传活动启幕</t>
  </si>
  <si>
    <t>母帖明确为该法宣传活动，发布时间为7月1日16:31，评论区共11条。</t>
  </si>
  <si>
    <t>省级法治媒体报道法律宣传活动；仅2条7月1日评论计入支持认可，6月30日评论不在时间窗口。</t>
  </si>
  <si>
    <t>https://weibo.com/5176230254/Rc00n754x?refer_flag=1001030103_</t>
  </si>
  <si>
    <t>主题宣传活动；法律施行</t>
  </si>
  <si>
    <t>母帖和8条可见评论已核验；3条未展示，原始链接已回填。</t>
  </si>
  <si>
    <t>母帖计入有效舆情；仅时间窗口内2条评论计入公众统计。</t>
  </si>
  <si>
    <t>快手人工核验</t>
  </si>
  <si>
    <t>快手</t>
  </si>
  <si>
    <t>民族团结进步促进法＋四川＋彝语＋就业歧视＋评论</t>
  </si>
  <si>
    <t>放猪老人~迪日尔古</t>
  </si>
  <si>
    <t>个人账号/民族文化账号母帖</t>
  </si>
  <si>
    <t>四川省（账号IP属地四川；评论多次涉及凉山，具体发布地待核实）</t>
  </si>
  <si>
    <t>省级账号线索/凉山相关议题</t>
  </si>
  <si>
    <t>彝语口播/中文字幕</t>
  </si>
  <si>
    <t>彝语讲解《中华人民共和国民族团结进步促进法》相关内容</t>
  </si>
  <si>
    <t>经移动端人工核验，视频采用彝语口播并配有中文字幕；中文字幕明确介绍《中华人民共和国民族团结进步促进法》的发布、施行及若干关键规定。</t>
  </si>
  <si>
    <t>该快手母帖形成集中公众讨论。79条文字评论由原始评论区逐条采集，其中77条可分类；71条非支持意见已依据原页面采集记录完成复核。另679条重复赞同、666类评论按聚合支持计入。</t>
  </si>
  <si>
    <t>https://www.kuaishou.com/f/X61LgJZvnkrW15G</t>
  </si>
  <si>
    <t>公众讨论母帖</t>
  </si>
  <si>
    <t>彝语普法；中文字幕；就业歧视；法律执行；投诉救济</t>
  </si>
  <si>
    <t>彝语视频依据发布者自带中文字幕进行人工核对，非机器翻译，法律关联已确认；其中1条彝文评论经补充核查为无实际语义的无意义评论，已排除，不再列为语言待复核项。</t>
  </si>
  <si>
    <t>母帖计入有效舆情；79条文字评论在“公众评论明细”逐条记录，679条重复赞同/666类评论在“聚合评论统计”中计数。</t>
  </si>
  <si>
    <t>微信公众号“同心马边”</t>
  </si>
  <si>
    <t>四川＋民族团结进步促进法＋24项任务＋学习贯彻</t>
  </si>
  <si>
    <t>同心马边</t>
  </si>
  <si>
    <t>四川省（由马边相关官方账号传播）</t>
  </si>
  <si>
    <t>省级措施/县级账号传播</t>
  </si>
  <si>
    <t>四川部署24项任务推动“民族团结进步促进法”学习贯彻</t>
  </si>
  <si>
    <t>四川省印发学习宣传贯彻《中华人民共和国民族团结进步促进法》工作方案，系统部署24项具体任务。</t>
  </si>
  <si>
    <t>省级层面部署24项任务，将本法学习宣传贯彻融入经济社会发展、法治建设和基层治理，并纳入党委（党组）理论学习中心组学习、开展分层分类培训。该文由马边相关官方账号传播，但不能据此表述为马边县单独部署24项任务。</t>
  </si>
  <si>
    <t>公众号原始页面已截图核验；未单独保存可复制链接</t>
  </si>
  <si>
    <t>省级工作方案；24项任务；理论学习；分层培训；基层治理</t>
  </si>
  <si>
    <t>标题、发布时间和正文已通过公众号页面截图核验；文章明确涉及本法学习贯彻。页面未发现可计入公众意见的评论或留言。</t>
  </si>
  <si>
    <t>纳入本轮官方实施信息；按四川省级措施记录，不作为马边县单独实施措施。</t>
  </si>
  <si>
    <t>民族团结进步促进法＋国家通用语言文字＋民族文字＋对照版</t>
  </si>
  <si>
    <t>官方宣传信息</t>
  </si>
  <si>
    <t>马边彝族自治县（地方账号传播；内容为全国性出版信息）</t>
  </si>
  <si>
    <t>县级账号</t>
  </si>
  <si>
    <t>《中华人民共和国民族团结进步促进法》国家通用语言文字和民族文字对照版出版</t>
  </si>
  <si>
    <t>国家通用语言文字和蒙古文、藏文、维吾尔文、哈萨克文、朝鲜文、彝文、壮文等7种民族文字对照版单行本出版发行。</t>
  </si>
  <si>
    <t>地方官方账号转发本法多语种对照版出版信息，属于本法宣传普及和民族语言服务信息。</t>
  </si>
  <si>
    <t>多语种普法；民族文字；法律出版；宣传教育</t>
  </si>
  <si>
    <t>标题、发布时间和正文已通过公众号页面截图核验；正文为中文，不需要对民族文字封面作机器翻译或态度判断。</t>
  </si>
  <si>
    <t>纳入有效相关信息；不作为公众意见。</t>
  </si>
  <si>
    <t>微信公众号“木里融媒”</t>
  </si>
  <si>
    <t>木里＋县政府第96次常务会议＋民族团结进步促进法</t>
  </si>
  <si>
    <t>木里融媒</t>
  </si>
  <si>
    <t>木里藏族自治县</t>
  </si>
  <si>
    <t>县政府召开第96次常务会议</t>
  </si>
  <si>
    <t>7月13日，县政府第96次常务会议集中学习《中华人民共和国民族团结进步促进法》等法律法规。</t>
  </si>
  <si>
    <t>木里县政府常务会议集中学习本法，属于县级政府学习贯彻和依法治理信息。</t>
  </si>
  <si>
    <t>政府常务会议；集中学习；依法治理</t>
  </si>
  <si>
    <t>标题、发布时间和正文已通过公众号页面截图核验；页面未发现可计入公众意见的评论或留言。</t>
  </si>
  <si>
    <t>纳入木里县本轮官方实施信息。</t>
  </si>
  <si>
    <t>木里＋县政府第97次常务会议＋民族团结进步促进法</t>
  </si>
  <si>
    <t>县政府召开第97次常务会议</t>
  </si>
  <si>
    <t>7月30日，县政府第97次常务会议再次集中学习《中华人民共和国民族团结进步促进法》等法律法规。</t>
  </si>
  <si>
    <t>木里县政府在后续常务会议中继续学习本法，并在教育、安全生产等重点工作部署中强调铸牢中华民族共同体意识，属于独立的后续贯彻信息。</t>
  </si>
  <si>
    <t>政府常务会议；持续学习；教育工作；基层治理</t>
  </si>
  <si>
    <t>与7月13日第96次常务会议为不同日期、不同会议，分别记录；页面未发现可计入公众意见的评论或留言。</t>
  </si>
  <si>
    <t>微信公众号“峨边彝族自治县人民法院”</t>
  </si>
  <si>
    <t>峨边＋民族团结进步促进法＋今日施行＋普法</t>
  </si>
  <si>
    <t>峨边彝族自治县人民法院</t>
  </si>
  <si>
    <t>峨边彝族自治县</t>
  </si>
  <si>
    <t>《中华人民共和国民族团结进步促进法》于今日施行</t>
  </si>
  <si>
    <t>文章介绍该法于2026年7月1日起施行，并概述其立法意义和相关重点内容。</t>
  </si>
  <si>
    <t>峨边县法院发布本法施行日普法内容，属于地方司法机关的法律宣传和普法信息。</t>
  </si>
  <si>
    <t>法律施行；法院普法；法律解读</t>
  </si>
  <si>
    <t>标题、发布时间和正文已通过公众号页面截图核验；页面仅显示点赞、转发、推荐等互动量，未发现可计入公众意见的留言。</t>
  </si>
  <si>
    <t>纳入峨边县本轮有效相关信息；不作为公众意见。</t>
  </si>
  <si>
    <t>地区</t>
  </si>
  <si>
    <t>发布部门或来源</t>
  </si>
  <si>
    <t>文件或活动名称</t>
  </si>
  <si>
    <t>主要实施内容</t>
  </si>
  <si>
    <t>是否包含意见征集/群众留言/公开答复</t>
  </si>
  <si>
    <t>核验说明</t>
  </si>
  <si>
    <t>否/页面未见</t>
  </si>
  <si>
    <t>是：公开征求意见</t>
  </si>
  <si>
    <t>公众意见分类汇总（四川、甘肃民族地区）</t>
  </si>
  <si>
    <t>地区/账号范围</t>
  </si>
  <si>
    <t>支持认可数</t>
  </si>
  <si>
    <t>统计项</t>
  </si>
  <si>
    <t>数量</t>
  </si>
  <si>
    <t>临夏州地方账号（含临夏市、临夏县、广河县）</t>
  </si>
  <si>
    <t>有效公众意见总数</t>
  </si>
  <si>
    <t>支持认可</t>
  </si>
  <si>
    <t>肃北地方账号</t>
  </si>
  <si>
    <t>咨询疑问</t>
  </si>
  <si>
    <t>东乡县“视听东乡”</t>
  </si>
  <si>
    <t>担忧影响</t>
  </si>
  <si>
    <t>明确批评</t>
  </si>
  <si>
    <t>阿坝“阿坝鼓声”</t>
  </si>
  <si>
    <t>投诉维权</t>
  </si>
  <si>
    <t>四川省级“同心四川”</t>
  </si>
  <si>
    <t>实施问题</t>
  </si>
  <si>
    <t>积石山/西北民族大学</t>
  </si>
  <si>
    <t>公平争议</t>
  </si>
  <si>
    <t>甘肃省级“甘肃法治报”</t>
  </si>
  <si>
    <t>已计入但仍需补充信息</t>
  </si>
  <si>
    <t>四川快手彝语账号</t>
  </si>
  <si>
    <t>评论信息量</t>
  </si>
  <si>
    <t>样本说明</t>
  </si>
  <si>
    <t>较具体观点</t>
  </si>
  <si>
    <t>截至2026年8月5日，共记录827条可计入公众意见：支持认可756条、咨询疑问5条、担忧影响7条、明确批评19条、投诉维权4条、实施问题24条、公平争议12条。快手71条非支持文字评论均由原始评论区逐条采集并完成复核，维持原分类；抖音评论“辫子戏严重破坏民族团结”经补充核查后判定与本法无直接关系，按无关评论排除。快手彝语视频依据发布者自带中文字幕人工核验；其中1条彝文评论经补充核查为无意义评论，不计入统计。</t>
  </si>
  <si>
    <t>低信息量表态</t>
  </si>
  <si>
    <t>本轮地方关注议题</t>
  </si>
  <si>
    <t>议题</t>
  </si>
  <si>
    <t>出现次数</t>
  </si>
  <si>
    <t>代表来源</t>
  </si>
  <si>
    <t>判断</t>
  </si>
  <si>
    <t>地方学习贯彻与调研</t>
  </si>
  <si>
    <t>甘南州政府、甘孜/凉山地方公众号、临夏州民委</t>
  </si>
  <si>
    <t>高频官方实施信息；公众评论的地区分布另见右侧统计表。</t>
  </si>
  <si>
    <t>地方配套法规与意见征集</t>
  </si>
  <si>
    <t>阿坝州藏语言文字条例修订公示</t>
  </si>
  <si>
    <t>最值得继续追踪公众反馈</t>
  </si>
  <si>
    <t>民族语言文字</t>
  </si>
  <si>
    <t>阿坝条例修订、多语言检索入口</t>
  </si>
  <si>
    <t>尚未检出可核验公众意见</t>
  </si>
  <si>
    <t>基层普法及宗教场所宣传</t>
  </si>
  <si>
    <t>肃南马背普法、甘孜寺庙宣讲、临夏百场万人宣讲</t>
  </si>
  <si>
    <t>73条公众意见中72条为支持认可，1条为需复核的具体问题反映；未发现可核验的投诉维权或明确反对意见。</t>
  </si>
  <si>
    <t>地方公众投诉或执行反馈</t>
  </si>
  <si>
    <t>本轮未检出</t>
  </si>
  <si>
    <t>不能据此推断现实中不存在相关问题。</t>
  </si>
  <si>
    <t>发布日期/状态</t>
  </si>
  <si>
    <t>标题或线索</t>
  </si>
  <si>
    <t>排除原因</t>
  </si>
  <si>
    <t>说明</t>
  </si>
  <si>
    <t>2026-07-01之前</t>
  </si>
  <si>
    <t>马边彝族自治县政府及相关入口</t>
  </si>
  <si>
    <t>政府学习该法线索</t>
  </si>
  <si>
    <t>发布时间早于首次回溯起点</t>
  </si>
  <si>
    <t>只作施行前准备背景，不计入有效结果。</t>
  </si>
  <si>
    <t>峨边彝族自治县政府及相关入口</t>
  </si>
  <si>
    <t>法律学习宣传线索</t>
  </si>
  <si>
    <t>不计入有效结果。</t>
  </si>
  <si>
    <t>甘孜州相关入口</t>
  </si>
  <si>
    <t>会议学习法律线索</t>
  </si>
  <si>
    <t>张家川相关入口</t>
  </si>
  <si>
    <t>学习宣传线索</t>
  </si>
  <si>
    <t>积石山相关入口</t>
  </si>
  <si>
    <t>法律全文或宣传线索</t>
  </si>
  <si>
    <t>区间内多条</t>
  </si>
  <si>
    <t>四川、甘肃地方政府和媒体网站</t>
  </si>
  <si>
    <t>一般民族团结、民族文化、文旅或教育稿</t>
  </si>
  <si>
    <t>与本法没有明确关系（C类）</t>
  </si>
  <si>
    <t>只命中一般民族议题词，不能作为本法舆情。</t>
  </si>
  <si>
    <t>区间内</t>
  </si>
  <si>
    <t>地方媒体转载页</t>
  </si>
  <si>
    <t>无法找到首发页面的二次转载</t>
  </si>
  <si>
    <t>只有二手转述</t>
  </si>
  <si>
    <t>转入人工补查，不以转载页替代原始来源。</t>
  </si>
  <si>
    <t>持续</t>
  </si>
  <si>
    <t>百度定向检索入口</t>
  </si>
  <si>
    <t>百度搜索结果页</t>
  </si>
  <si>
    <t>不是原始来源</t>
  </si>
  <si>
    <t>只用于发现真实政府官网，不能填为舆情原始链接。</t>
  </si>
  <si>
    <t>2026-06-26</t>
  </si>
  <si>
    <t>州委理论学习中心组召开专题学习（扩大）会议</t>
  </si>
  <si>
    <t>人工核验发现页面实际发布日期为2026-06-26，早于2026-07-01，已从有效明细和官方实施信息中移除。</t>
  </si>
  <si>
    <t>2026-07（截图相对日期）</t>
  </si>
  <si>
    <t>视频号：临夏市融媒体中心</t>
  </si>
  <si>
    <t>评论完整复制母帖“7月1日起正式施行”介绍文字</t>
  </si>
  <si>
    <t>与母帖文案高度重复，未表达独立公众观点</t>
  </si>
  <si>
    <t>不计入公众意见统计；同一母帖其余2条点赞评论计入支持认可。</t>
  </si>
  <si>
    <t>核心内容解读视频下1条评论复制母帖文案</t>
  </si>
  <si>
    <t>与母帖内容高度重复，未表达独立观点</t>
  </si>
  <si>
    <t>不计入公众意见统计；经人工统计，其余7条正向评论计入。</t>
  </si>
  <si>
    <t>2026-07-02</t>
  </si>
  <si>
    <t>基层宣讲视频顶部1条母帖文案型评论</t>
  </si>
  <si>
    <t>属于作者/母帖说明或复制内容，不是独立公众态度</t>
  </si>
  <si>
    <t>不计入；其余6条点赞、爱心评论计入支持认可。</t>
  </si>
  <si>
    <t>2026-07-17</t>
  </si>
  <si>
    <t>抖音：临夏市融媒体中心</t>
  </si>
  <si>
    <t>评论“麻烦问下哦，助学贷款什么时候开始？”</t>
  </si>
  <si>
    <t>与《民族团结进步促进法》及母帖内容无关</t>
  </si>
  <si>
    <t>不归入“咨询疑问”；属于借帖询问其他政务事项，同一母帖其余7条支持评论计入。</t>
  </si>
  <si>
    <t>2026-07-21</t>
  </si>
  <si>
    <t>“志愿普法进街巷 法治清风润河州”视频及5条点赞评论</t>
  </si>
  <si>
    <t>截图仅显示一般普法和“民族团结·法治护航”活动，未明确提及本法</t>
  </si>
  <si>
    <t>按“放宽搜索词、不放宽纳入标准”排除；如原视频口播或简介明确提及本法，可再恢复核验；原始链接：https://v.douyin.com/uUgt7hrrFfQ/</t>
  </si>
  <si>
    <t>2026-07-27</t>
  </si>
  <si>
    <t>抖音：甘肃省民族事务委员会</t>
  </si>
  <si>
    <t>《如意普法》第四集下3条评论：索要玩偶、空白@、领奖消息发不出去</t>
  </si>
  <si>
    <t>评论与法律态度、实施或政策内容无关</t>
  </si>
  <si>
    <t>不计入公众意见；同一母帖“民族团结一家亲”评论计入支持认可。</t>
  </si>
  <si>
    <t>2026-07（约7月29日）</t>
  </si>
  <si>
    <t>抖音：张家川融媒</t>
  </si>
  <si>
    <t>评论“我可没惹谁哈🌹🌹”</t>
  </si>
  <si>
    <t>语义含糊，不能确认是否针对法律内容表达态度</t>
  </si>
  <si>
    <t>母帖本身与本法直接相关，但该评论暂不计入；如能结合视频上下文确认含义，可再复核。</t>
  </si>
  <si>
    <t>2026-07-01</t>
  </si>
  <si>
    <t>抖音：曲水融媒</t>
  </si>
  <si>
    <t>《民族团结进步促进法》今日正式施行及4条评论</t>
  </si>
  <si>
    <t>发布地区为西藏曲水县，不属于本监测覆盖的四川、甘肃民族地区</t>
  </si>
  <si>
    <t>母帖与法律直接相关，但按地区分工排除，不计入本表公众意见；原始链接：https://v.douyin.com/zj1q_L1Kj7U/</t>
  </si>
  <si>
    <t>2026-07-30</t>
  </si>
  <si>
    <t>微博：甘州区融媒体中心</t>
  </si>
  <si>
    <t>营商环境建设局专题学习该法及13条评论</t>
  </si>
  <si>
    <t>甘州区不属于本监测覆盖的民族自治州县范围</t>
  </si>
  <si>
    <t>评论多数为支持表态，但按地区分工不纳入；截图image10与image15为同一母帖。</t>
  </si>
  <si>
    <t>2026-07-01后</t>
  </si>
  <si>
    <t>微博：厚大法考等全国性账号</t>
  </si>
  <si>
    <t>“这些新规7月起施行”及4条评论</t>
  </si>
  <si>
    <t>未体现四川、甘肃负责民族地区，属于全国性泛化内容</t>
  </si>
  <si>
    <t>不纳入地区专项结果。</t>
  </si>
  <si>
    <t>2026-07-19</t>
  </si>
  <si>
    <t>微博：西北民族大学（积石山）</t>
  </si>
  <si>
    <t>评论“欢迎报考西北民族大学”及5条未展开评论</t>
  </si>
  <si>
    <t>前者与法律态度无关，后5条未展示正文，无法核验</t>
  </si>
  <si>
    <t>同一母帖仅3条可见支持评论计入。</t>
  </si>
  <si>
    <t>2026-07-25</t>
  </si>
  <si>
    <t>微博：西北民族大学（天祝）</t>
  </si>
  <si>
    <t>“普法宣传广场 法治种子播心田”及2条评论</t>
  </si>
  <si>
    <t>截图未显示正文明确提及《民族团结进步促进法》</t>
  </si>
  <si>
    <t>暂不计入；如打开原帖确认正文直接涉及本法，可恢复其中“赞赞赞”评论；原始链接：https://weibo.com/5632927564/R9oRdiCa2?refer_flag=1001030103_</t>
  </si>
  <si>
    <t>2026-08-05</t>
  </si>
  <si>
    <t>微博：酒泉市融媒体中心</t>
  </si>
  <si>
    <t>肃北“落地答卷”母帖下2条评论</t>
  </si>
  <si>
    <t>可见评论“肃北盐池湾”仅为地点短语，另1条未展开</t>
  </si>
  <si>
    <t>母帖计入有效舆情，评论暂不计入公众意见。</t>
  </si>
  <si>
    <t>2026-06-30及未展示</t>
  </si>
  <si>
    <t>微博：甘肃法治报</t>
  </si>
  <si>
    <t>主题宣传活动评论区中的6月30日评论及3条未展示评论</t>
  </si>
  <si>
    <t>6月30日早于监测起点；未展示评论无法核验</t>
  </si>
  <si>
    <t>仅7月1日两条点赞评论计入支持认可。</t>
  </si>
  <si>
    <t>2026-08-03</t>
  </si>
  <si>
    <t>微博截图：9条民族语言/服饰相关评论</t>
  </si>
  <si>
    <t>未提供母帖标题、账号和与本法关联证据</t>
  </si>
  <si>
    <t>缺少母帖上下文，无法确认是否在负责地区及是否直接讨论本法</t>
  </si>
  <si>
    <t>暂不计入；需补母帖原始页面后再审查。</t>
  </si>
  <si>
    <t>2026-07-18</t>
  </si>
  <si>
    <t>微博：天祝县融媒体中心</t>
  </si>
  <si>
    <t>“同心铸魂促团结 文化惠民聚合力”及2条评论</t>
  </si>
  <si>
    <t>属于一般民族团结宣传，正文未明确涉及本法</t>
  </si>
  <si>
    <t>不因地区和正向评论而放宽法律关联标准；原始链接：https://weibo.com/8267410122/R6x6L2Uwd?refer_flag=1001030103_</t>
  </si>
  <si>
    <t>视频号：H遂宁</t>
  </si>
  <si>
    <t>遂宁市干部群众热议该法及1条评论</t>
  </si>
  <si>
    <t>遂宁市不属于本监测覆盖的四川民族自治地区范围</t>
  </si>
  <si>
    <t>按地区分工排除；原始链接：https://weixin.qq.com/sph/ApADM9fGQl</t>
  </si>
  <si>
    <t>平台显示1个月前</t>
  </si>
  <si>
    <t>快手：放猪老人~迪日尔古</t>
  </si>
  <si>
    <t>评论“你说我的五”</t>
  </si>
  <si>
    <t>语义不完整，无法判断具体态度或诉求</t>
  </si>
  <si>
    <t>已保留在公众评论明细中作为原始样本，但不计入公众意见统计。</t>
  </si>
  <si>
    <t>2026-07-26</t>
  </si>
  <si>
    <t>抖音：广河县融媒体中心</t>
  </si>
  <si>
    <t>评论“辫子戏严重破坏民族团结”</t>
  </si>
  <si>
    <t>原视频未提及该内容；补充检索显示“辫子戏”可能指清代题材电视剧或影视内容，与本法及其实施无直接关系</t>
  </si>
  <si>
    <t>已完成原视频核对和补充检索；按无关评论排除，不纳入公众意见统计。原始链接：https://v.douyin.com/MPBliIMpXZQ/</t>
  </si>
  <si>
    <t>2026-08-06</t>
  </si>
  <si>
    <t>微信公众号“同心乐山”／马边彝族自治县</t>
  </si>
  <si>
    <t>【籽籽同心】马边：专题宣讲民族团结进步促进法</t>
  </si>
  <si>
    <t>文章与本法实施直接相关，但发布时间晚于本轮监测截止时间2026-08-05</t>
  </si>
  <si>
    <t>作为后续监测线索留存，不纳入本轮有效母帖、公众意见或实施信息统计；无须因无评论继续补查。</t>
  </si>
  <si>
    <t>2026-07-15</t>
  </si>
  <si>
    <t>微信公众号“今日马边”／马边彝族自治县</t>
  </si>
  <si>
    <t>自治县委常委会召开（扩大）会议</t>
  </si>
  <si>
    <t>截图可见正文涉及防汛救灾、党风廉政、农业、科技等议题，未见《中华人民共和国民族团结进步促进法》或其实施内容</t>
  </si>
  <si>
    <t>不纳入本轮有效相关信息；作为已浏览但与本法无直接关联的检索结果留痕。</t>
  </si>
  <si>
    <t>平台或账号</t>
  </si>
  <si>
    <t>状态类别</t>
  </si>
  <si>
    <t>无法自动获取的原因</t>
  </si>
  <si>
    <t>建议人工搜索关键词</t>
  </si>
  <si>
    <t>重点查看位置</t>
  </si>
  <si>
    <t>微阿坝；阿坝鼓声</t>
  </si>
  <si>
    <t>已发现3条视频号支持评论；M12原始链接已精确对应，藏文正文待复核</t>
  </si>
  <si>
    <t>阿坝鼓声视频中文标题与本法直接相关，M12原始页面已定位。视频含藏文，当前无可靠人工翻译；3条评论均为点赞表情，态度判断不依赖藏文语义。</t>
  </si>
  <si>
    <t>阿坝鼓声＋学习民族团结进步促进法；微阿坝＋图解促进法</t>
  </si>
  <si>
    <t>M12链接：https://weixin.qq.com/sph/An9TpnhX6uz；藏文正文标记待藏语人员复核。</t>
  </si>
  <si>
    <t>凉山日报；凉山发布；快手账号“放猪老人~迪日尔古”</t>
  </si>
  <si>
    <t>凉山彝族自治州及四川彝族相关舆情</t>
  </si>
  <si>
    <t>快手高评论量彝语母帖已完成主要复核；有效公众意见756条</t>
  </si>
  <si>
    <t>快手视频发布日期为2026-07-04，采用彝语口播并配中文字幕。79条文字评论由原始评论区逐条采集；71条非支持意见已完成复核。1条彝文评论经补充核查为无实际语义的无意义评论，已排除。</t>
  </si>
  <si>
    <t>民族团结进步促进法＋凉山＋彝语＋快手；彝族＋就业歧视＋怎么投诉</t>
  </si>
  <si>
    <t>保留中文字幕核验说明；彝文无意义评论已完成核查，不再作为语言待复核项。</t>
  </si>
  <si>
    <t>中国甘孜</t>
  </si>
  <si>
    <t>甘孜藏族自治州</t>
  </si>
  <si>
    <t>已发现2篇有效文章；均无留言；德格文章需补原始链接</t>
  </si>
  <si>
    <t>康定、道孚文章已与政府网页交叉核验，公众号显示阅读820、无留言；德格文章发布时间和正文已核验，显示阅读798、无留言，但未保存可复制原始链接。</t>
  </si>
  <si>
    <t>中国甘孜＋民族团结进步促进法；赵波＋德格/康定/道孚；寺庙＋学习宣传贯彻</t>
  </si>
  <si>
    <t>复制德格文章原始链接；继续检查藏文内容、精选留言及视频号评论</t>
  </si>
  <si>
    <t>临夏州民委；临夏市融媒体中心；临夏县融媒体中心；广河县融媒体中心</t>
  </si>
  <si>
    <t>已发现34条支持评论；另1条无关评论已排除</t>
  </si>
  <si>
    <t>临夏市、临夏县和广河县抖音链接可精确对应。“辫子戏严重破坏民族团结”已重新核对原视频；补充检索显示该说法可能指清代题材电视剧或影视内容，与本法及其实施无直接关系。</t>
  </si>
  <si>
    <t>临夏市融媒体中心＋促进法＋抖音；广河县融媒体中心＋民族团结进步促进法</t>
  </si>
  <si>
    <t>该评论已完成复核并按无关评论排除，无需继续追查。</t>
  </si>
  <si>
    <t>甘南头条；甘南融媒；甘南融媒藏语平台</t>
  </si>
  <si>
    <t>已发现4条藏语普法视频支持评论；M01原始链接已精确对应，藏语正文待复核</t>
  </si>
  <si>
    <t>甘南融媒藏语平台母帖中文标题明确涉及本法，M01原始页面已定位。当前无可靠藏语人工翻译；4条评论均为表情型支持，态度判断不依赖藏语正文。</t>
  </si>
  <si>
    <t>甘南融媒藏语平台＋民族团结进步促进法＋第一期</t>
  </si>
  <si>
    <t>M01链接：https://weixin.qq.com/sph/AtykZndKEg；藏语正文标记待藏语人员复核。</t>
  </si>
  <si>
    <t>木里藏族自治县人民政府；木里藏族发布；木里融媒；木里藏族日报</t>
  </si>
  <si>
    <t>已完成本轮检查；发现2篇有效官方实施信息，未发现公众留言</t>
  </si>
  <si>
    <t>木里融媒7月13日第96次、7月30日第97次县政府常务会议均集中学习《中华人民共和国民族团结进步促进法》。</t>
  </si>
  <si>
    <t>木里融媒＋第96次常务会议；木里融媒＋第97次常务会议</t>
  </si>
  <si>
    <t>2篇均已纳入官方实施信息；无评论不影响纳入，无需继续补查留言。</t>
  </si>
  <si>
    <t>马边彝族自治县人民政府；马边彝族发布；马边彝族融媒；马边彝族日报；今日马边；同心马边</t>
  </si>
  <si>
    <t>马边彝族自治县</t>
  </si>
  <si>
    <t>已完成本轮检查；发现2篇监测期内有效信息，另有1篇超期线索</t>
  </si>
  <si>
    <t>同心马边7月2日发布本法多语种对照版出版信息，7月21日转发四川省24项任务学习贯彻部署，均在监测期内；今日马边7月15日会议截图未见本法内容；同心乐山8月6日专题宣讲超出监测窗口。</t>
  </si>
  <si>
    <t>同心马边＋24项任务；同心马边＋民族文字对照版；今日马边＋常委会</t>
  </si>
  <si>
    <t>7月2日、7月21日两篇已纳入；7月15日会议排除；8月6日仅作后续线索。无需继续补查评论。</t>
  </si>
  <si>
    <t>峨边在线；爱峨边；峨边彝族自治县人民法院</t>
  </si>
  <si>
    <t>已完成本轮检查；发现1篇有效官方普法信息，未发现公众留言</t>
  </si>
  <si>
    <t>峨边彝族自治县人民法院于7月1日发布《中华人民共和国民族团结进步促进法》施行普法内容，明确介绍法律施行和重点内容。</t>
  </si>
  <si>
    <t>峨边彝族自治县人民法院＋民族团结进步促进法＋今日施行</t>
  </si>
  <si>
    <t>该文已纳入官方传播信息；页面无可计入公众留言，无需继续补查评论。</t>
  </si>
  <si>
    <t>大爱北川</t>
  </si>
  <si>
    <t>北川羌族自治县</t>
  </si>
  <si>
    <t>已完成本轮检查；未发现监测期内与本法明确相关的可核验内容</t>
  </si>
  <si>
    <t>已检查大爱北川等地方账号，暂未发现2026-07-01至2026-08-05期间与本法及其实施明确相关的文章、视频或可核验评论。</t>
  </si>
  <si>
    <t>北川＋民族团结进步促进法＋贯彻实施</t>
  </si>
  <si>
    <t>本轮可据实标记“未发现相关内容”，无需继续扩大搜索范围。</t>
  </si>
  <si>
    <t>积石山县人民政府；积石山发布；积石山融媒；积石山日报；西北民族大学</t>
  </si>
  <si>
    <t>已发现地方报道及3条微博支持评论；微博原始链接已精确回填</t>
  </si>
  <si>
    <t>西北民族大学赴积石山县开展普通话推广和法律宣讲；可见4条评论中3条支持、1条无关，另5条未展开。</t>
  </si>
  <si>
    <t>西北民族大学＋积石山＋民族团结进步促进法；积石山＋普语促振兴＋评论</t>
  </si>
  <si>
    <t>如有需要继续展开其余5条评论；核对是否存在地方账号原发或转载</t>
  </si>
  <si>
    <t>张家川县人民政府；张家川发布；张家川融媒；张家川日报</t>
  </si>
  <si>
    <t>已发现1组抖音法律导读母帖；原始链接已精确回填，唯一评论未计入</t>
  </si>
  <si>
    <t>张家川融媒发布《民族团结进步促进法》序言与总则篇导读；评论“我可没惹谁哈🌹🌹”无法确认态度。</t>
  </si>
  <si>
    <t>张家川融媒＋民族团结进步促进法＋序言与总则；张家川＋促进法＋评论</t>
  </si>
  <si>
    <t>核对准确发布日期；继续查其他法律系列视频及可明确分类的评论</t>
  </si>
  <si>
    <t>天祝县人民政府；天祝发布；天祝融媒；天祝日报；西北民族大学</t>
  </si>
  <si>
    <t>天祝藏族自治县</t>
  </si>
  <si>
    <t>发现1组微博普法实践母帖及2条评论，但与本法的直接关联仍待核实</t>
  </si>
  <si>
    <t>截图仅显示“普法宣传广场 法治种子播心田”和天祝县社会实践信息，未显示正文明确提及《民族团结进步促进法》；暂不计入评论。</t>
  </si>
  <si>
    <t>西北民族大学＋天祝＋民族团结进步促进法；普法宣传广场＋天祝＋评论</t>
  </si>
  <si>
    <t>打开微博原帖核对完整正文；如明确涉及本法，可计入其中“赞赞赞”评论</t>
  </si>
  <si>
    <t>肃南县人民政府；肃南发布；肃南融媒；肃南日报</t>
  </si>
  <si>
    <t>已发现有效内容；1个原始页面证书错误；地方账号评论需补查</t>
  </si>
  <si>
    <t>张掖市政府公开的肃南马背普法页面已核验；张掖市委统战部调研页面提示 NET::ERR_CERT_COMMON_NAME_INVALID；肃南地方账号评论仍需客户端核验。</t>
  </si>
  <si>
    <t>账号名＋“民族团结进步促进法/民族团结法”＋肃南裕固族自治县＋贯彻实施/语言文字/学校/社区＋怎么执行/担心/强制/投诉/政府回应</t>
  </si>
  <si>
    <t>账号文章列表、原始发布时间、精选留言、视频字幕、口播时间点、评论区、问政或留言栏目</t>
  </si>
  <si>
    <t>肃北融媒；肃北县融媒体中心；肃北发布；肃北统一战线；看这里是肃北；酒泉市融媒体中心</t>
  </si>
  <si>
    <t>已发现8条视频号支持评论及1组微博有效母帖；微信公众号评论已删除</t>
  </si>
  <si>
    <t>删除单独记录的微信公众号评论后，肃北视频号相关有效支持为8条；酒泉市融媒体中心微博“落地答卷”母帖保留，评论未计入。</t>
  </si>
  <si>
    <t>肃北＋民族团结进步促进法；落地答卷；法治边疆行；解读；雪域普法</t>
  </si>
  <si>
    <t>视频号链接仅保留候选集合；微博链接已精确回填；继续查蒙古语/双语文字评论</t>
  </si>
  <si>
    <t>阿克塞县人民政府；阿克塞发布；阿克塞融媒；阿克塞日报</t>
  </si>
  <si>
    <t>阿克塞哈萨克族自治县</t>
  </si>
  <si>
    <t>暂未发现相关内容；地方账号和语言内容需复核</t>
  </si>
  <si>
    <t>公众号、视频号或地方融媒体客户端缺少统一公开搜索入口，精选留言、视频评论和直播回放无法稳定抓取。</t>
  </si>
  <si>
    <t>账号名＋“民族团结进步促进法/民族团结法”＋阿克塞哈萨克族自治县＋贯彻实施/语言文字/学校/社区＋怎么执行/担心/强制/投诉/政府回应</t>
  </si>
  <si>
    <t>东乡县人民政府；东乡发布；东乡融媒；东乡日报；视听东乡</t>
  </si>
  <si>
    <t>已发现7条视频号支持评论；需补母帖链接</t>
  </si>
  <si>
    <t>“视听东乡”7月1日基层宣讲视频下发现7条点赞类支持评论。</t>
  </si>
  <si>
    <t>视听东乡＋民族团结进步促进法＋基层宣讲＋评论</t>
  </si>
  <si>
    <t>复制母帖链接；继续检查东乡语口播/字幕及咨询、实施反馈类评论</t>
  </si>
  <si>
    <t>藏文/藏语入口</t>
  </si>
  <si>
    <t>阿坝、甘孜、甘南、木里、天祝</t>
  </si>
  <si>
    <t>已发现藏文/藏语母帖或双语内容；当前未发现藏文评论</t>
  </si>
  <si>
    <t>甘南融媒藏语平台、阿坝鼓声等母帖可见藏文/藏语元素。当前评论以中文和表情为主，未发现藏文文字评论；母帖标题、字幕和口播仍需语言人员复核。</t>
  </si>
  <si>
    <t>完整法律名称＋甘南/阿坝/甘孜＋藏语/藏文/双语；地方账号名＋促进法＋藏语</t>
  </si>
  <si>
    <t>复核母帖标题、字幕、口播和双语图文；继续查看评论区是否出现藏文文字评论。</t>
  </si>
  <si>
    <t>彝文/彝语入口</t>
  </si>
  <si>
    <t>凉山、木里、马边、峨边</t>
  </si>
  <si>
    <t>已发现彝文/彝语或双语传播线索；当前未发现彝语评论</t>
  </si>
  <si>
    <t>相关截图和地方账号中可见民族语言或双语传播线索，但当前评论均为中文或表情，未发现彝文/彝语文字评论；具体语种和含义需语言人员确认。</t>
  </si>
  <si>
    <t>法律核心词＋凉山/木里/马边/峨边＋彝语/彝文/双语</t>
  </si>
  <si>
    <t>核对标题、字幕和口播具体语种；评论区继续查找彝文/彝语文字评论。</t>
  </si>
  <si>
    <t>羌语/羌文入口</t>
  </si>
  <si>
    <t>阿坝、北川</t>
  </si>
  <si>
    <t>已发现羌语/双语传播线索；当前未发现羌语评论</t>
  </si>
  <si>
    <t>阿坝、北川相关内容中可见民族语言或双语传播线索，当前评论未发现羌语/羌文文字；母帖语言需专业人员复核。</t>
  </si>
  <si>
    <t>法律核心词＋阿坝/北川＋羌语/羌文/双语</t>
  </si>
  <si>
    <t>核对视频口播、字幕和转写；评论区继续查找羌语/羌文评论。</t>
  </si>
  <si>
    <t>蒙古语入口</t>
  </si>
  <si>
    <t>肃北</t>
  </si>
  <si>
    <t>已发现蒙古语或蒙汉双语传播线索；当前未发现蒙古文评论</t>
  </si>
  <si>
    <t>肃北相关宣传中存在蒙汉双语或蒙古语传播线索，当前可见评论均为中文或表情，未发现蒙古文文字评论；传统蒙古文需专业人员复核。</t>
  </si>
  <si>
    <t>法律核心词＋肃北＋蒙古语/蒙古文/蒙汉双语</t>
  </si>
  <si>
    <t>核对蒙古文标题、字幕、PDF附件和口播；评论区继续查看蒙古文评论。</t>
  </si>
  <si>
    <t>哈萨克语入口</t>
  </si>
  <si>
    <t>阿克塞</t>
  </si>
  <si>
    <t>已发现哈萨克语/双语传播线索；当前未发现哈萨克语评论</t>
  </si>
  <si>
    <t>阿克塞相关账号存在哈萨克语或双语传播入口，当前未发现哈萨克语文字评论；具体字母体系、标题和口播需语言人员确认。</t>
  </si>
  <si>
    <t>法律核心词＋阿克塞＋哈萨克语/哈萨克文/双语</t>
  </si>
  <si>
    <t>核对双语标题、视频字幕、口播及字母体系；评论区继续查看哈萨克语评论。</t>
  </si>
  <si>
    <t>裕固语入口</t>
  </si>
  <si>
    <t>肃南</t>
  </si>
  <si>
    <t>已发现裕固语/双语传播线索；当前未发现裕固语评论</t>
  </si>
  <si>
    <t>肃南相关内容存在裕固语或双语传播入口，当前评论以中文和表情为主，未发现裕固语文字评论；字幕和口播需专业人员确认。</t>
  </si>
  <si>
    <t>法律核心词＋肃南＋裕固语/裕固文/双语</t>
  </si>
  <si>
    <t>核对字幕、口播和转写方式；评论区继续查看裕固语评论。</t>
  </si>
  <si>
    <t>东乡语/保安语/撒拉语入口</t>
  </si>
  <si>
    <t>临夏、积石山、东乡</t>
  </si>
  <si>
    <t>已发现民族语言或双语传播线索；当前未发现相应民族语言评论</t>
  </si>
  <si>
    <t>临夏、积石山、东乡相关母帖和视频中存在民族语言或双语传播线索，当前可见评论均为中文或表情，未发现东乡语、保安语或撒拉语文字评论；具体语种需专业人员确认。</t>
  </si>
  <si>
    <t>法律核心词＋临夏/积石山/东乡＋东乡语/保安语/撒拉语/双语</t>
  </si>
  <si>
    <t>核对视频口播、字幕和汉字转写；评论区继续查找相应民族语言评论。</t>
  </si>
  <si>
    <t>政府网站/入口</t>
  </si>
  <si>
    <t>指定地方账号</t>
  </si>
  <si>
    <t>轮查频率</t>
  </si>
  <si>
    <t>涉及语言</t>
  </si>
  <si>
    <t>代表性检索关键词</t>
  </si>
  <si>
    <t>结果状态</t>
  </si>
  <si>
    <t>有效发现</t>
  </si>
  <si>
    <t>备注/下一步</t>
  </si>
  <si>
    <t>阿坝州人民政府；https://www.abazhou.gov.cn/</t>
  </si>
  <si>
    <t>微阿坝</t>
  </si>
  <si>
    <t>每日</t>
  </si>
  <si>
    <t>普通话、藏文、羌语</t>
  </si>
  <si>
    <t>“民族团结进步促进法/民族团结法/7月1日施行”＋阿坝藏族羌族自治州；法律核心词＋阿坝藏族羌族自治州＋贯彻实施/语言文字/学校/社区；法律核心词＋阿坝藏族羌族自治州＋怎么执行/担心/形式主义/一刀切/强制/投诉/政府回应</t>
  </si>
  <si>
    <t>已发现地方实施信息及3条视频号支持评论</t>
  </si>
  <si>
    <t>阿坝鼓声M12视频号原始链接已精确对应；3条支持认可评论已核验</t>
  </si>
  <si>
    <t>M12：https://weixin.qq.com/sph/An9TpnhX6uz；视频含藏文，正文待藏语人员复核。</t>
  </si>
  <si>
    <t>凉山州人民政府；https://www.lsz.gov.cn/</t>
  </si>
  <si>
    <t>凉山日报；凉山发布</t>
  </si>
  <si>
    <t>普通话、彝文/彝语</t>
  </si>
  <si>
    <t>“民族团结进步促进法/民族团结法/7月1日施行”＋凉山彝族自治州；法律核心词＋凉山彝族自治州＋贯彻实施/语言文字/学校/社区；法律核心词＋凉山彝族自治州＋怎么执行/担心/形式主义/一刀切/强制/投诉/政府回应</t>
  </si>
  <si>
    <t>已发现官方学习信息及1组快手彝语高评论量母帖</t>
  </si>
  <si>
    <t>快手母帖发布日期为2026-07-04；758条评论中756条计入，其中685条支持认可</t>
  </si>
  <si>
    <t>79条文字评论由原始评论区逐条采集；71条非支持意见已完成复核。视频为彝语口播并配中文字幕；1条彝文评论经补充核查为无实际语义的无意义评论，已排除。</t>
  </si>
  <si>
    <t>甘孜州人民政府；https://www.gzz.gov.cn/</t>
  </si>
  <si>
    <t>普通话、藏文</t>
  </si>
  <si>
    <t>“民族团结进步促进法/民族团结法/7月1日施行”＋甘孜藏族自治州；法律核心词＋甘孜藏族自治州＋贯彻实施/语言文字/学校/社区；法律核心词＋甘孜藏族自治州＋怎么执行/担心/形式主义/一刀切/强制/投诉/政府回应</t>
  </si>
  <si>
    <t>已发现2篇有效公众号文章；均无留言；1篇链接待补</t>
  </si>
  <si>
    <t>康定、道孚寺庙宣讲文章；德格县更庆寺学习宣传贯彻文章</t>
  </si>
  <si>
    <t>康定、道孚文章公众号阅读820、无留言；德格文章阅读798、无留言，需复制德格文章原始链接。</t>
  </si>
  <si>
    <t>临夏州人民政府；https://www.linxia.gov.cn/</t>
  </si>
  <si>
    <t>临夏回族自治州人民政府办公室；临夏州民委</t>
  </si>
  <si>
    <t>普通话、东乡语、保安语、撒拉语</t>
  </si>
  <si>
    <t>“民族团结进步促进法/民族团结法/7月1日施行”＋临夏回族自治州；法律核心词＋临夏回族自治州＋贯彻实施/语言文字/学校/社区；法律核心词＋临夏回族自治州＋怎么执行/担心/形式主义/一刀切/强制/投诉/政府回应</t>
  </si>
  <si>
    <t>已发现官方实施信息、34条支持评论及1条待复核线索</t>
  </si>
  <si>
    <t>微信/视频号19条支持；抖音临夏市14条支持、广河县1条支持；“辫子戏”评论经复核后按无关评论排除</t>
  </si>
  <si>
    <t>已重新核对原视频；补充检索显示“辫子戏”可能指清代题材电视剧或影视内容，与本法无直接关系，不再列为待复核项。</t>
  </si>
  <si>
    <t>甘南州人民政府；https://www.gnzrmzf.gov.cn/</t>
  </si>
  <si>
    <t>甘南头条；甘南融媒</t>
  </si>
  <si>
    <t>“民族团结进步促进法/民族团结法/7月1日施行”＋甘南藏族自治州；法律核心词＋甘南藏族自治州＋贯彻实施/语言文字/学校/社区；法律核心词＋甘南藏族自治州＋怎么执行/担心/形式主义/一刀切/强制/投诉/政府回应</t>
  </si>
  <si>
    <t>已发现地方实施信息及4条藏语普法视频支持评论</t>
  </si>
  <si>
    <t>甘南融媒藏语平台M01视频号原始链接已精确对应；4条表情型支持评论已核验</t>
  </si>
  <si>
    <t>M01：https://weixin.qq.com/sph/AtykZndKEg；藏语正文待藏语人员复核。</t>
  </si>
  <si>
    <t>政府官网定向检索入口；https://www.baidu.com/s?wd=%E6%9C%A8%E9%87%8C%E8%97%8F%E6%97%8F%E8%87%AA%E6%B2%BB%E5%8E%BF%20%E4%BA%BA%E6%B0%91%E6%94%BF%E5%BA%9C%20%E5%AE%98%E7%BD%91%20site%3Agov.cn</t>
  </si>
  <si>
    <t>隔日</t>
  </si>
  <si>
    <t>普通话、藏文、彝文/彝语</t>
  </si>
  <si>
    <t>“民族团结进步促进法/民族团结法/7月1日施行”＋木里藏族自治县；法律核心词＋木里藏族自治县＋贯彻实施/语言文字/学校/社区；法律核心词＋木里藏族自治县＋怎么执行/担心/形式主义/一刀切/强制/投诉/政府回应</t>
  </si>
  <si>
    <t>已发现2篇县级官方实施信息；均无可计入公众留言</t>
  </si>
  <si>
    <t>木里融媒7月13日第96次、7月30日第97次县政府常务会议均集中学习本法</t>
  </si>
  <si>
    <t>2篇已纳入有效舆情明细；属于不同日期、不同会议，可分别计为独立实施信息。</t>
  </si>
  <si>
    <t>政府官网定向检索入口；https://www.baidu.com/s?wd=%E9%A9%AC%E8%BE%B9%E5%BD%9D%E6%97%8F%E8%87%AA%E6%B2%BB%E5%8E%BF%20%E4%BA%BA%E6%B0%91%E6%94%BF%E5%BA%9C%20%E5%AE%98%E7%BD%91%20site%3Agov.cn</t>
  </si>
  <si>
    <t>“民族团结进步促进法/民族团结法/7月1日施行”＋马边彝族自治县；法律核心词＋马边彝族自治县＋贯彻实施/语言文字/学校/社区；法律核心词＋马边彝族自治县＋怎么执行/担心/形式主义/一刀切/强制/投诉/政府回应</t>
  </si>
  <si>
    <t>已发现2篇监测期内有效官方信息；另有1篇无关、1篇超期线索</t>
  </si>
  <si>
    <t>同心马边7月2日多语种对照版出版信息；7月21日四川省24项任务学习贯彻部署</t>
  </si>
  <si>
    <t>今日马边7月15日会议未见本法内容，排除；同心乐山8月6日马边专题宣讲超出窗口，仅留痕。</t>
  </si>
  <si>
    <t>峨边彝族自治县人民政府；https://www.eb.gov.cn/</t>
  </si>
  <si>
    <t>“民族团结进步促进法/民族团结法/7月1日施行”＋峨边彝族自治县；法律核心词＋峨边彝族自治县＋贯彻实施/语言文字/学校/社区；法律核心词＋峨边彝族自治县＋怎么执行/担心/形式主义/一刀切/强制/投诉/政府回应</t>
  </si>
  <si>
    <t>已发现1篇法院普法有效信息；无可计入公众留言</t>
  </si>
  <si>
    <t>峨边彝族自治县人民法院7月1日发布本法施行日普法文章</t>
  </si>
  <si>
    <t>已纳入有效舆情明细；页面无可计入留言，无需继续补查评论。</t>
  </si>
  <si>
    <t>北川政务服务入口；https://mysbcx.sczwfw.gov.cn/</t>
  </si>
  <si>
    <t>普通话、羌语/羌文</t>
  </si>
  <si>
    <t>“民族团结进步促进法/民族团结法/7月1日施行”＋北川羌族自治县；法律核心词＋北川羌族自治县＋贯彻实施/语言文字/学校/社区；法律核心词＋北川羌族自治县＋怎么执行/担心/形式主义/一刀切/强制/投诉/政府回应</t>
  </si>
  <si>
    <t>本轮已完成检查，暂未发现有效相关内容</t>
  </si>
  <si>
    <t>未发现监测期内与本法及其实施明确相关的可核验文章、视频或评论</t>
  </si>
  <si>
    <t>据实记录“未发现”，无需继续扩大搜索范围。</t>
  </si>
  <si>
    <t>政府官网定向检索入口；https://www.baidu.com/s?wd=%E7%A7%AF%E7%9F%B3%E5%B1%B1%E4%BF%9D%E5%AE%89%E6%97%8F%E4%B8%9C%E4%B9%A1%E6%97%8F%E6%92%92%E6%8B%89%E6%97%8F%E8%87%AA%E6%B2%BB%E5%8E%BF%20%E4%BA%BA%E6%B0%91%E6%94%BF%E5%BA%9C%20%E5%AE%98%E7%BD%91%20site%3Agov.cn</t>
  </si>
  <si>
    <t>积石山县人民政府；积石山发布；积石山融媒；积石山日报</t>
  </si>
  <si>
    <t>普通话、保安语、东乡语、撒拉语</t>
  </si>
  <si>
    <t>“民族团结进步促进法/民族团结法/7月1日施行”＋积石山保安族东乡族撒拉族自治县；法律核心词＋积石山保安族东乡族撒拉族自治县＋贯彻实施/语言文字/学校/社区；法律核心词＋积石山保安族东乡族撒拉族自治县＋怎么执行/担心/形式主义/一刀切/强制/投诉/政府回应</t>
  </si>
  <si>
    <t>已发现地方实施信息及3条微博支持评论</t>
  </si>
  <si>
    <t>西北民族大学积石山社会实践母帖明确宣讲该法；可见3条支持评论</t>
  </si>
  <si>
    <t>微博原始链接已精确回填；1条“欢迎报考”排除，5条未展开。</t>
  </si>
  <si>
    <t>政府官网定向检索入口；https://www.baidu.com/s?wd=%E5%BC%A0%E5%AE%B6%E5%B7%9D%E5%9B%9E%E6%97%8F%E8%87%AA%E6%B2%BB%E5%8E%BF%20%E4%BA%BA%E6%B0%91%E6%94%BF%E5%BA%9C%20%E5%AE%98%E7%BD%91%20site%3Agov.cn</t>
  </si>
  <si>
    <t>“民族团结进步促进法/民族团结法/7月1日施行”＋张家川回族自治县；法律核心词＋张家川回族自治县＋贯彻实施/语言文字/学校/社区；法律核心词＋张家川回族自治县＋怎么执行/担心/形式主义/一刀切/强制/投诉/政府回应</t>
  </si>
  <si>
    <t>已发现1组抖音法律导读母帖；暂未发现可明确计入的公众意见</t>
  </si>
  <si>
    <t>张家川融媒发布序言与总则篇导读，1条评论语义不明</t>
  </si>
  <si>
    <t>母帖可作为法律宣传线索；评论未计入。继续搜索后续篇目和明确态度评论。</t>
  </si>
  <si>
    <t>政府官网定向检索入口；https://www.baidu.com/s?wd=%E5%A4%A9%E7%A5%9D%E8%97%8F%E6%97%8F%E8%87%AA%E6%B2%BB%E5%8E%BF%20%E4%BA%BA%E6%B0%91%E6%94%BF%E5%BA%9C%20%E5%AE%98%E7%BD%91%20site%3Agov.cn</t>
  </si>
  <si>
    <t>天祝县人民政府；天祝发布；天祝融媒；天祝日报</t>
  </si>
  <si>
    <t>“民族团结进步促进法/民族团结法/7月1日施行”＋天祝藏族自治县；法律核心词＋天祝藏族自治县＋贯彻实施/语言文字/学校/社区；法律核心词＋天祝藏族自治县＋怎么执行/担心/形式主义/一刀切/强制/投诉/政府回应</t>
  </si>
  <si>
    <t>发现1组微博普法实践线索，直接法律关联待核实</t>
  </si>
  <si>
    <t>西北民族大学天祝社会实践母帖有2条评论，但截图未显示本法名称</t>
  </si>
  <si>
    <t>暂不纳入；需打开完整正文确认是否直接宣讲《民族团结进步促进法》。</t>
  </si>
  <si>
    <t>肃南县人民政府；http://www.gssn.gov.cn/</t>
  </si>
  <si>
    <t>普通话、裕固语</t>
  </si>
  <si>
    <t>“民族团结进步促进法/民族团结法/7月1日施行”＋肃南裕固族自治县；法律核心词＋肃南裕固族自治县＋贯彻实施/语言文字/学校/社区；法律核心词＋肃南裕固族自治县＋怎么执行/担心/形式主义/一刀切/强制/投诉/政府回应</t>
  </si>
  <si>
    <t>已发现有效内容；1条页面证书错误；本地账号评论需补查</t>
  </si>
  <si>
    <t>张掖市政府“马背普法”页面已核验；统战部宗教工作调研页面仍待核实</t>
  </si>
  <si>
    <t>统战部页面提示 NET::ERR_CERT_COMMON_NAME_INVALID；寻找同标题官方转载，并继续检查肃南地方账号。</t>
  </si>
  <si>
    <t>政府官网定向检索入口；https://www.baidu.com/s?wd=%E8%82%83%E5%8C%97%E8%92%99%E5%8F%A4%E6%97%8F%E8%87%AA%E6%B2%BB%E5%8E%BF%20%E4%BA%BA%E6%B0%91%E6%94%BF%E5%BA%9C%20%E5%AE%98%E7%BD%91%20site%3Agov.cn</t>
  </si>
  <si>
    <t>肃北县人民政府；肃北发布；肃北统一战线；看这里是肃北</t>
  </si>
  <si>
    <t>普通话、传统蒙古文/蒙古语</t>
  </si>
  <si>
    <t>“民族团结进步促进法/民族团结法/7月1日施行”＋肃北蒙古族自治县；法律核心词＋肃北蒙古族自治县＋贯彻实施/语言文字/学校/社区；法律核心词＋肃北蒙古族自治县＋怎么执行/担心/形式主义/一刀切/强制/投诉/政府回应</t>
  </si>
  <si>
    <t>已发现实施信息、8条视频号支持评论及1组微博有效母帖</t>
  </si>
  <si>
    <t>删除单独记录的微信公众号评论后，肃北视频号共8条支持；酒泉市融媒体中心“落地答卷”微博母帖保留</t>
  </si>
  <si>
    <t>视频号链接仅作候选集合；微博可见评论未表达明确态度，未计入。</t>
  </si>
  <si>
    <t>政府官网定向检索入口；https://www.baidu.com/s?wd=%E9%98%BF%E5%85%8B%E5%A1%9E%E5%93%88%E8%90%A8%E5%85%8B%E6%97%8F%E8%87%AA%E6%B2%BB%E5%8E%BF%20%E4%BA%BA%E6%B0%91%E6%94%BF%E5%BA%9C%20%E5%AE%98%E7%BD%91%20site%3Agov.cn</t>
  </si>
  <si>
    <t>普通话、哈萨克语/哈萨克文</t>
  </si>
  <si>
    <t>“民族团结进步促进法/民族团结法/7月1日施行”＋阿克塞哈萨克族自治县；法律核心词＋阿克塞哈萨克族自治县＋贯彻实施/语言文字/学校/社区；法律核心词＋阿克塞哈萨克族自治县＋怎么执行/担心/形式主义/一刀切/强制/投诉/政府回应</t>
  </si>
  <si>
    <t>未查到区间内可核验条目</t>
  </si>
  <si>
    <t>哈萨克语仅使用辅助词，必须由语言人员复核。</t>
  </si>
  <si>
    <t>政府官网定向检索入口；https://www.baidu.com/s?wd=%E4%B8%9C%E4%B9%A1%E6%97%8F%E8%87%AA%E6%B2%BB%E5%8E%BF%20%E4%BA%BA%E6%B0%91%E6%94%BF%E5%BA%9C%20%E5%AE%98%E7%BD%91%20site%3Agov.cn</t>
  </si>
  <si>
    <t>东乡县人民政府；东乡发布；东乡融媒；东乡日报</t>
  </si>
  <si>
    <t>普通话、东乡语</t>
  </si>
  <si>
    <t>“民族团结进步促进法/民族团结法/7月1日施行”＋东乡族自治县；法律核心词＋东乡族自治县＋贯彻实施/语言文字/学校/社区；法律核心词＋东乡族自治县＋怎么执行/担心/形式主义/一刀切/强制/投诉/政府回应</t>
  </si>
  <si>
    <t>已发现基层宣讲母帖及7条支持评论</t>
  </si>
  <si>
    <t>“视听东乡”7月1日促进法进基层宣讲视频下7条点赞类评论</t>
  </si>
  <si>
    <t>评论已计入支持认可；需补母帖链接并继续查东乡语内容。</t>
  </si>
  <si>
    <t>关键词类别</t>
  </si>
  <si>
    <t>适用地区</t>
  </si>
  <si>
    <t>适用入口</t>
  </si>
  <si>
    <t>关键词或组合词</t>
  </si>
  <si>
    <t>使用说明</t>
  </si>
  <si>
    <t>是否需要语言人员复核</t>
  </si>
  <si>
    <t>法律核心词</t>
  </si>
  <si>
    <t>全部负责地区</t>
  </si>
  <si>
    <t>地方政府网站、地方媒体、公众号/视频号</t>
  </si>
  <si>
    <t>中华人民共和国民族团结进步促进法；民族团结进步促进法；民族团结法；民族团结促进法；民族团结新法；7月1日民族新规</t>
  </si>
  <si>
    <t>每条检索式至少包含一个法律核心词；不要只搜一般民族团结内容。</t>
  </si>
  <si>
    <t>时间与实施词</t>
  </si>
  <si>
    <t>地方政府网站、地方媒体</t>
  </si>
  <si>
    <t>2026年7月1日；7月1日起施行；正式施行；实施以来；落地情况；实施进展；实施效果</t>
  </si>
  <si>
    <t>用于限制时间范围并发现施行后的地方落实信息。</t>
  </si>
  <si>
    <t>官方部署词</t>
  </si>
  <si>
    <t>政府网站、民委、统战部、司法、教育等部门网站</t>
  </si>
  <si>
    <t>贯彻实施；贯彻落实；实施方案；工作方案；任务清单；专题部署；督促落实；监督检查；考核评价</t>
  </si>
  <si>
    <t>与法律核心词和具体州县名组合。</t>
  </si>
  <si>
    <t>学习宣传词</t>
  </si>
  <si>
    <t>政府网站、地方媒体、公众号/视频号</t>
  </si>
  <si>
    <t>专题学习；集中学习；宣讲会；专题培训；普法宣传；法律进学校；法律进社区；法律进乡村；法律进企业；法律进宗教活动场所</t>
  </si>
  <si>
    <t>记录为官方实施信息，不能直接计为公众支持。</t>
  </si>
  <si>
    <t>公开参与与回应</t>
  </si>
  <si>
    <t>政府网站、地方公众号、互动栏目</t>
  </si>
  <si>
    <t>意见征集；公开征求意见；群众留言；群众诉求；在线咨询；政府答复；官方回应；领导留言板；12345；信访答复</t>
  </si>
  <si>
    <t>重点查找公众意见、政府公开答复及后续采纳说明。</t>
  </si>
  <si>
    <t>公众咨询疑问</t>
  </si>
  <si>
    <t>地方媒体留言、公众号精选留言、视频号评论</t>
  </si>
  <si>
    <t>什么意思；有什么变化；有什么影响；怎么执行；如何认定；哪个部门负责；去哪里咨询；普通人需要注意什么</t>
  </si>
  <si>
    <t>评论区不可访问时写“需要登录后补查/评论无法获取”。</t>
  </si>
  <si>
    <t>担忧与批评</t>
  </si>
  <si>
    <t>地方媒体留言、公众号/视频号评论</t>
  </si>
  <si>
    <t>担心；执行偏差；边界不清；规定太宽；形式主义；一刀切；层层加码；强制参加；增加负担；只宣传不解决问题</t>
  </si>
  <si>
    <t>属于正常公众意见，不能自动标记为违法或风险。</t>
  </si>
  <si>
    <t>投诉与维权</t>
  </si>
  <si>
    <t>政府互动、地方媒体、公众号/视频号评论</t>
  </si>
  <si>
    <t>投诉；举报；反映问题；求助；维权；要求解释；要求回应；区别对待；不予办理；拖延办理；不作为；答复不满意</t>
  </si>
  <si>
    <t>必须核验是否明确讨论本法或其具体实施。</t>
  </si>
  <si>
    <t>语言文字议题</t>
  </si>
  <si>
    <t>阿坝、甘孜、甘南、木里、天祝、凉山、马边、峨边、北川、肃南、肃北、阿克塞、积石山、东乡</t>
  </si>
  <si>
    <t>政府网站、地方媒体、多语言栏目</t>
  </si>
  <si>
    <t>国家通用语言文字；少数民族语言文字；双语文书；语言文字规范化；母语教育；语言权利；双语标识；民族语言保护</t>
  </si>
  <si>
    <t>与法律核心词、地区词组合，不能单独命中就纳入。</t>
  </si>
  <si>
    <t>学校与教育议题</t>
  </si>
  <si>
    <t>教育部门、学校、地方媒体</t>
  </si>
  <si>
    <t>学校教育；民族团结教育；统编教材；中小学教育；高校教育；教师意见；学生意见；家长意见；社会实践</t>
  </si>
  <si>
    <t>适合检索学校落实、家长或学生反馈。</t>
  </si>
  <si>
    <t>就业与公共服务</t>
  </si>
  <si>
    <t>人社、政务服务、地方媒体</t>
  </si>
  <si>
    <t>就业歧视；区别对待；拒绝录用；公共服务均等化；政务服务；教育资源；医疗资源；住房保障</t>
  </si>
  <si>
    <t>必须与法律核心词和地区名联合检索。</t>
  </si>
  <si>
    <t>社区与基层治理</t>
  </si>
  <si>
    <t>政府网站、街道社区、融媒体</t>
  </si>
  <si>
    <t>互嵌式社区；社区治理；社区活动；基层治理；村规民约；居民公约；群众参与；矛盾纠纷</t>
  </si>
  <si>
    <t>适合发现具体执行方式和基层反馈。</t>
  </si>
  <si>
    <t>藏文</t>
  </si>
  <si>
    <t>藏文栏目、地方融媒体、双语页面</t>
  </si>
  <si>
    <t>མི་རིགས་མཐུན་སྒྲིལ་ཡར་ཐོན་ལ་སྐུལ་སྤེལ་གཏོང་ཕྱོགས་སྐོར་གྱི་ཀྲུང་ཧྭ་མི་དམངས་སྤྱི་མཐུན་རྒྱལ་ཁབ་ཀྱི་བཅའ་ཁྲིམས།；ལག་བསྟར；སེམས་ཁྲལ；ཞུ་གཏུག</t>
  </si>
  <si>
    <t>完整标题可作发现入口；意见和情感含义须由藏语人员复核。</t>
  </si>
  <si>
    <t>彝文/彝语</t>
  </si>
  <si>
    <t>地方融媒体、双语标题、视频字幕</t>
  </si>
  <si>
    <t>民族团结法＋彝文；民族团结法＋彝语；民族团结进步促进法＋凉山/木里/马边/峨边</t>
  </si>
  <si>
    <t>找到官方彝文标题后复制原始词形反向检索，不自行生成正式译名。</t>
  </si>
  <si>
    <t>羌语/羌文</t>
  </si>
  <si>
    <t>民族团结法＋羌语；民族团结法＋羌文；民族团结进步促进法＋阿坝/北川＋羌语</t>
  </si>
  <si>
    <t>主要作中文发现式；原文和情感须由语言人员复核。</t>
  </si>
  <si>
    <t>传统蒙古文/蒙古语</t>
  </si>
  <si>
    <t>肃北政府、发布、融媒、日报及多语言页面</t>
  </si>
  <si>
    <t>ᠦᠨᠳᠦᠰᠦᠲᠡᠨ；ᠪᠦᠯᠬᠦᠮᠳᠡᠯ；ᠳᠠᠪᠰᠢᠯᠲᠠ；ᠬᠠᠤᠯᠢ；ᠬᠡᠷᠡᠭᠵᠢᠭᠦᠯᠬᠦ；ᠰᠠᠨᠠᠯ</t>
  </si>
  <si>
    <t>传统蒙古文存在方向、字体和编码差异，建议拆分并与中文法律词交叉检索。</t>
  </si>
  <si>
    <t>哈萨克语/哈萨克文</t>
  </si>
  <si>
    <t>阿克塞政府、发布、融媒、日报及双语视频</t>
  </si>
  <si>
    <t>ұлттар бірлігі；заң；іске асыру；әсер；шағым；үкімет жауабы</t>
  </si>
  <si>
    <t>均为辅助检索词，并非本法官方译名；还可能出现阿拉伯字母形式。</t>
  </si>
  <si>
    <t>裕固语</t>
  </si>
  <si>
    <t>肃南政府、发布、融媒、日报及视频字幕</t>
  </si>
  <si>
    <t>民族团结法＋裕固语；民族团结法＋裕固文；民族团结进步促进法＋肃南＋裕固语</t>
  </si>
  <si>
    <t>可能以汉字转写、拉丁转写或口语视频出现，须保留原始载体。</t>
  </si>
  <si>
    <t>东乡语/保安语/撒拉语</t>
  </si>
  <si>
    <t>地方融媒体、视频号、双语字幕</t>
  </si>
  <si>
    <t>民族团结法＋东乡语；民族团结法＋保安语；民族团结法＋撒拉语；法律核心词＋积石山/东乡＋语言名称</t>
  </si>
  <si>
    <t>可能主要以口语、汉字转写或字幕出现，不得仅凭自动语音识别判断观点。</t>
  </si>
  <si>
    <t>类型</t>
  </si>
  <si>
    <t>名称或规则</t>
  </si>
  <si>
    <t>日期/状态</t>
  </si>
  <si>
    <t>核验要点</t>
  </si>
  <si>
    <t>链接或说明</t>
  </si>
  <si>
    <t>负责范围</t>
  </si>
  <si>
    <t>郑思语：四川与甘肃民族地区</t>
  </si>
  <si>
    <t>固定分工</t>
  </si>
  <si>
    <t>仅负责五个自治州、十一个自治县、地方政府网站、地方媒体、指定地方公众号/视频号及相关民族语言内容。</t>
  </si>
  <si>
    <t>微博、小红书等全国性平台不纳入本分工的系统检索范围。</t>
  </si>
  <si>
    <t>时间边界</t>
  </si>
  <si>
    <t>首次历史回溯窗口</t>
  </si>
  <si>
    <t>2026-07-01—2026-08-05 11:01</t>
  </si>
  <si>
    <t>只纳入2026年7月1日后发布且与本法存在明确关联的内容。</t>
  </si>
  <si>
    <t>北京时间</t>
  </si>
  <si>
    <t>关键词规则</t>
  </si>
  <si>
    <t>四段式组合</t>
  </si>
  <si>
    <t>已执行</t>
  </si>
  <si>
    <t>法律核心词＋本监测范围词＋具体议题词＋公众态度词；不机械粘贴全部词。</t>
  </si>
  <si>
    <t>具体检索式见“检索日志”和“关键词清单”</t>
  </si>
  <si>
    <t>有效性规则</t>
  </si>
  <si>
    <t>A/B/C关联度</t>
  </si>
  <si>
    <t>固定口径</t>
  </si>
  <si>
    <t>有效表只保留直接相关A类和有证据确认的实施相关B类；一般民族议题列入排除记录。</t>
  </si>
  <si>
    <t>每条必须有法律名称、简称、施行背景或充分实施上下文。</t>
  </si>
  <si>
    <t>公众统计</t>
  </si>
  <si>
    <t>地方公众意见计数规则</t>
  </si>
  <si>
    <t>官方会议、学习宣传和媒体通稿不计入公众意见；只计可核验的个人原创、评论、留言、投诉或利益诉求。</t>
  </si>
  <si>
    <t>以“是否计入公众统计”字段为准。</t>
  </si>
  <si>
    <t>无结果记录</t>
  </si>
  <si>
    <t>暂未发现相关内容</t>
  </si>
  <si>
    <t>日志状态</t>
  </si>
  <si>
    <t>必须写明已检查的网站、地方账号和关键词；不代表现实中不存在。</t>
  </si>
  <si>
    <t>参见“检索日志”。</t>
  </si>
  <si>
    <t>受限入口</t>
  </si>
  <si>
    <t>需要登录后补查/评论无法获取</t>
  </si>
  <si>
    <t>人工补查</t>
  </si>
  <si>
    <t>地方公众号、视频号和融媒体评论受客户端、登录或索引限制，不得猜测。</t>
  </si>
  <si>
    <t>参见“后续复核清单”。</t>
  </si>
  <si>
    <t>多语言</t>
  </si>
  <si>
    <t>内容需要语言人员复核</t>
  </si>
  <si>
    <t>人工复核</t>
  </si>
  <si>
    <t>保留原始词形、标题、字幕和口播证据；辅助词不等于本法官方译名。</t>
  </si>
  <si>
    <t>参见“关键词清单”。</t>
  </si>
  <si>
    <t>公众评论口径</t>
  </si>
  <si>
    <t>支持认可评论统计</t>
  </si>
  <si>
    <t>项目组口径</t>
  </si>
  <si>
    <t>点赞、爱心、鲜花、“赞”等表情或短语型正向评论可计入支持认可；每条独立评论计1条，并标注“低信息量表态”。</t>
  </si>
  <si>
    <t>本轮共计42条；其中2条较具体文字观点、40条低信息量表态。</t>
  </si>
  <si>
    <t>公众评论排除</t>
  </si>
  <si>
    <t>非独立或无关评论</t>
  </si>
  <si>
    <t>复制母帖文案、正文为空、母帖与本法无明确关联，以及同一评论的重复截图，不计入公众意见。</t>
  </si>
  <si>
    <t>本轮排除复制文案3条、空白留言1条、无关页面评论1条；重复截图不重复计数。</t>
  </si>
  <si>
    <t>评论证据</t>
  </si>
  <si>
    <t>截图与原始链接</t>
  </si>
  <si>
    <t>待补链接</t>
  </si>
  <si>
    <t>评论内容、昵称、日期和母帖上下文已通过监测截图核验；原始链接尚未复制的母帖统一标记为待复核。</t>
  </si>
  <si>
    <t>证据见“公众评论明细”和“评论母帖汇总”。</t>
  </si>
  <si>
    <t>抖音补充检索</t>
  </si>
  <si>
    <t>地区定向人工核验</t>
  </si>
  <si>
    <t>抖音只按四川、甘肃负责地区及地方账号做补充搜索；有效母帖必须明确提及本法，评论需结合母帖语境逐条分类。</t>
  </si>
  <si>
    <t>本轮新增7组有效母帖、18条有效评论；另1条“辫子戏”评论经原视频核对及补充检索后判定为无关评论，不计入。</t>
  </si>
  <si>
    <t>无关咨询处理</t>
  </si>
  <si>
    <t>借帖询问其他政务事项</t>
  </si>
  <si>
    <t>评论虽为问句，但若问题与本法、民族团结实施或母帖内容无关，不归入“咨询疑问”。</t>
  </si>
  <si>
    <t>“助学贷款什么时候开始”属于无关咨询，已排除。</t>
  </si>
  <si>
    <t>有效舆情平台口径</t>
  </si>
  <si>
    <t>社交平台母帖纳入</t>
  </si>
  <si>
    <t>最终口径</t>
  </si>
  <si>
    <t>视频号、抖音、微博、快手等平台原帖，只要符合时间范围、负责地区和法律直接关联要求，均可纳入“有效舆情明细”。评论另在“公众评论明细”或“聚合评论统计”记录。</t>
  </si>
  <si>
    <t>当前保留25组社交平台母帖；有效公众意见827条。</t>
  </si>
  <si>
    <t>民族语言区分</t>
  </si>
  <si>
    <t>母帖语言与评论语言</t>
  </si>
  <si>
    <t>母帖存在民族语言标题、字幕、口播或双语内容，不等于评论使用民族语言。中文和表情评论可直接分类，民族语言文字评论需由语言人员复核。</t>
  </si>
  <si>
    <t>已发现彝语快手母帖及1条彝文评论；彝语视频依据中文字幕完成核验，彝文评论经补充核查为无实际语义的无意义评论，不计入态度统计。</t>
  </si>
  <si>
    <t>截图完整性</t>
  </si>
  <si>
    <t>只统计截图中可见且可核验的评论</t>
  </si>
  <si>
    <t>最终审查口径</t>
  </si>
  <si>
    <t>页面显示的评论总数不能直接等同于有效意见数；未展开、被截断或正文不可见的评论不计入，待补查后再更新。</t>
  </si>
  <si>
    <t>西北民族大学积石山母帖共9条评论，仅3条支持可计入；甘肃法治报共11条，仅2条符合时间和内容要求。</t>
  </si>
  <si>
    <t>时间窗口</t>
  </si>
  <si>
    <t>评论时间单独核验</t>
  </si>
  <si>
    <t>母帖在窗口内不代表所有评论均在窗口内；评论发布时间早于2026年7月1日的，不计入本轮公众意见。</t>
  </si>
  <si>
    <t>甘肃法治报6月30日评论全部排除，仅7月1日两条点赞评论计入。</t>
  </si>
  <si>
    <t>地区分工</t>
  </si>
  <si>
    <t>省级账号可纳入，非负责地市县排除</t>
  </si>
  <si>
    <t>四川、甘肃省级官方或媒体账号发布的本法内容可纳入；具体地方内容须属于本监测覆盖的自治州县。曲水、遂宁、甘州区等不纳入。</t>
  </si>
  <si>
    <t>新增“同心四川”7条评论；曲水、遂宁、甘州区相关评论排除。</t>
  </si>
  <si>
    <t>快手文字样本</t>
  </si>
  <si>
    <t>人工筛选评论的统计边界</t>
  </si>
  <si>
    <t>快手母帖共有758条评论。79条文字评论由原始评论区逐条采集，其中71条非支持意见已依据采集记录完成原页面复核；其余679条为重复赞同、666等正向评论，按聚合数量计入。</t>
  </si>
  <si>
    <t>79条中77条计入；1条彝文评论经补充核查为无意义评论，1条语义不完整评论不计入；另679条聚合支持。</t>
  </si>
  <si>
    <t>快手时间与身份字段</t>
  </si>
  <si>
    <t>相对时间、IP和昵称处理</t>
  </si>
  <si>
    <t>快手母帖发布日期经移动端人工核验为2026-07-04。视频采用彝语口播并配中文字幕；法律关联依据视频自带中文字幕人工核对，非机器翻译。</t>
  </si>
  <si>
    <t>M26日期、账号IP属地及中文字幕内容已人工核验；1条彝文评论经补充核查为无实际语义内容，已排除。</t>
  </si>
  <si>
    <t>快手聚合支持统计</t>
  </si>
  <si>
    <t>未逐条展开的679条正向评论</t>
  </si>
  <si>
    <t>修正后最终口径</t>
  </si>
  <si>
    <t>快手母帖总评论758条，已逐条整理79条有文字内容，并明确说明其余679条主要为重复赞同、666等正向表态。679条按“支持认可—低信息量表态”聚合计入，不补造昵称、时间、IP或具体原文。</t>
  </si>
  <si>
    <t>快手支持认可685条，快手有效意见756条；全表有效公众意见827条。</t>
  </si>
  <si>
    <t>视频号链接对应关系</t>
  </si>
  <si>
    <t>候选链接集合处理</t>
  </si>
  <si>
    <t>最终修正版口径</t>
  </si>
  <si>
    <t>经人工核验确认15条视频号链接与此前截图并非一一对应，因此不得按排列顺序强行绑定具体母帖。各视频号母帖统一标注“已提供候选链接集合”，具体URL集中保存在“原始链接清单”。</t>
  </si>
  <si>
    <t>抖音、微博、快手链接仍按可确认母帖精确回填；视频号不做虚假一一对应。</t>
  </si>
  <si>
    <t>母帖编号</t>
  </si>
  <si>
    <t>平台</t>
  </si>
  <si>
    <t>母帖标题</t>
  </si>
  <si>
    <t>发布时间说明</t>
  </si>
  <si>
    <t>母帖点赞量</t>
  </si>
  <si>
    <t>转发量</t>
  </si>
  <si>
    <t>收藏量</t>
  </si>
  <si>
    <t>评论总数</t>
  </si>
  <si>
    <t>有效支持数</t>
  </si>
  <si>
    <t>排除数</t>
  </si>
  <si>
    <t>母帖原始链接</t>
  </si>
  <si>
    <t>复核说明</t>
  </si>
  <si>
    <t>证据来源</t>
  </si>
  <si>
    <t>M01</t>
  </si>
  <si>
    <t>截图显示7月2日</t>
  </si>
  <si>
    <t>母帖和4条评论均已通过截图核验；M01视频号原始链接已精确对应。视频正文为藏语/藏文，具体语义仍待藏语人员复核；4条评论均为表情型支持，评论态度判断不依赖藏语正文。</t>
  </si>
  <si>
    <t>监测材料截图 image1；2026-08-07补充核验M01视频号原始链接</t>
  </si>
  <si>
    <t>M02</t>
  </si>
  <si>
    <t>截图显示26天前，按2026-08-05推算为7月10日，需回原帖确认</t>
  </si>
  <si>
    <t>2条表情支持计入；1条复制母帖全文的评论排除。视频号链接已提供但未逐条对应，准确发布日期仍需复核。</t>
  </si>
  <si>
    <t>监测材料截图 image2；视频号候选链接集合（未与截图逐条对应）</t>
  </si>
  <si>
    <t>M03</t>
  </si>
  <si>
    <t>截图显示20天前，按2026-08-05推算为7月16日，需回原帖确认</t>
  </si>
  <si>
    <t>1条复制母帖文案的评论排除，7条正向评论计入。其中原截图未完整展开的2条评论均确认为点赞表情，支持态度可确认；视频号链接仍未与截图逐条对应。</t>
  </si>
  <si>
    <t>监测材料截图 image3；视频号候选链接集合（未与截图逐条对应）</t>
  </si>
  <si>
    <t>M04</t>
  </si>
  <si>
    <t>评论及页面显示7月2日前后，需回原帖确认准确发布时间</t>
  </si>
  <si>
    <t>6条点赞、爱心类支持计入；顶部1条母帖文案型评论不计。视频号链接已提供但未逐条对应，准确发布日期仍需复核。</t>
  </si>
  <si>
    <t>监测材料截图 image4；视频号候选链接集合（未与截图逐条对应）</t>
  </si>
  <si>
    <t>M05</t>
  </si>
  <si>
    <t>公众号页面显示2026-07-21 19:54</t>
  </si>
  <si>
    <t>公众号文章、视频和评论均已截图核验；同一条“赞”在两张截图中重复出现，仅计一次。视频号链接已提供但未与截图逐条对应。</t>
  </si>
  <si>
    <t>监测材料截图 image5、image13、image14；视频号候选链接集合（未与截图逐条对应）</t>
  </si>
  <si>
    <t>M06</t>
  </si>
  <si>
    <t>截图显示6天前，按2026-08-05推算为7月30日，需回原帖确认</t>
  </si>
  <si>
    <t>文字型支持评论已截图核验；视频号链接已提供但未逐条对应，准确发布日期仍需复核。</t>
  </si>
  <si>
    <t>监测材料截图 image6；视频号候选链接集合（未与截图逐条对应）</t>
  </si>
  <si>
    <t>M07</t>
  </si>
  <si>
    <t>截图显示23天前，按2026-08-05推算为7月13日，需回原帖确认</t>
  </si>
  <si>
    <t>评论内容已截图核验；视频号链接已提供但未逐条对应，准确发布日期仍需复核。</t>
  </si>
  <si>
    <t>监测材料截图 image7；视频号候选链接集合（未与截图逐条对应）</t>
  </si>
  <si>
    <t>M08</t>
  </si>
  <si>
    <t>截图显示7天前，按2026-08-05推算为7月29日，需回原帖确认</t>
  </si>
  <si>
    <t>2条支持评论已截图核验；视频号链接已提供但未逐条对应，准确发布日期仍需复核。</t>
  </si>
  <si>
    <t>监测材料截图 image8；视频号候选链接集合（未与截图逐条对应）</t>
  </si>
  <si>
    <t>M09</t>
  </si>
  <si>
    <t>截图显示14天前，按2026-08-05推算为7月22日，需回原帖确认</t>
  </si>
  <si>
    <t>监测材料截图 image9；视频号候选链接集合（未与截图逐条对应）</t>
  </si>
  <si>
    <t>M10</t>
  </si>
  <si>
    <t>短语型支持评论已截图核验；视频号链接已提供但未逐条对应，准确发布日期仍需复核。</t>
  </si>
  <si>
    <t>监测材料截图 image10；视频号候选链接集合（未与截图逐条对应）</t>
  </si>
  <si>
    <t>M12</t>
  </si>
  <si>
    <t>截图显示1天前，按2026-08-05推算为8月4日，需回原帖确认</t>
  </si>
  <si>
    <t>3条表情型支持评论已通过截图核验；M12视频号原始链接已精确对应。视频含藏文，具体语义仍待藏语人员复核；评论态度判断不依赖藏文内容。</t>
  </si>
  <si>
    <t>监测材料截图 image15；2026-08-07补充核验M12视频号原始链接</t>
  </si>
  <si>
    <t>M13</t>
  </si>
  <si>
    <t>截图显示7月1日</t>
  </si>
  <si>
    <t>7条表情型支持评论已截图核验；视频号链接已提供但未与截图逐条对应。</t>
  </si>
  <si>
    <t>监测材料截图 image16；视频号候选链接集合（未与截图逐条对应）</t>
  </si>
  <si>
    <t>M14</t>
  </si>
  <si>
    <t>4条表情型支持评论已截图核验；视频号链接已提供但未与截图逐条对应。</t>
  </si>
  <si>
    <t>监测材料截图 image17；视频号候选链接集合（未与截图逐条对应）</t>
  </si>
  <si>
    <t>M15</t>
  </si>
  <si>
    <t>截图显示2026年7月16日</t>
  </si>
  <si>
    <t>7条评论均为点赞、奖牌或正向文字表态；原始链接已补，评论准确日期仍需复核。</t>
  </si>
  <si>
    <t>监测材料截图 image1；2026-08-05补充核验母帖原始链接</t>
  </si>
  <si>
    <t>M16</t>
  </si>
  <si>
    <t>截图显示2026年7月17日</t>
  </si>
  <si>
    <t>7条支持认可计入；1条“助学贷款什么时候开始”与母帖法律议题无关，已排除。另有1条支持评论在截图底部未完整显示；原始链接已补。</t>
  </si>
  <si>
    <t>监测材料截图 image2；2026-08-05补充核验母帖原始链接</t>
  </si>
  <si>
    <t>M17</t>
  </si>
  <si>
    <t>截图显示2026年7月14日</t>
  </si>
  <si>
    <t>1条点赞评论计入支持认可；原始链接已补，评论准确日期仍需复核。</t>
  </si>
  <si>
    <t>监测材料截图 image4；2026-08-05补充核验母帖原始链接</t>
  </si>
  <si>
    <t>M18</t>
  </si>
  <si>
    <t>截图显示2026年7月1日</t>
  </si>
  <si>
    <t>1条合十表情评论计入支持认可；原始链接已补，评论准确日期仍需复核。</t>
  </si>
  <si>
    <t>监测材料截图 image5；2026-08-05补充核验母帖原始链接</t>
  </si>
  <si>
    <t>M19</t>
  </si>
  <si>
    <t>截图显示2026年7月26日</t>
  </si>
  <si>
    <t>1条点赞评论计入支持认可；“辫子戏严重破坏民族团结”已重新核对原视频。补充检索显示该说法可能指清代题材电视剧或影视内容，与本法及其实施无直接关系，现按无关评论排除；原始链接已回填。</t>
  </si>
  <si>
    <t>监测材料截图 image6；2026-08-05补充核验母帖原始链接</t>
  </si>
  <si>
    <t>M20</t>
  </si>
  <si>
    <t>截图显示2026年7月27日</t>
  </si>
  <si>
    <t>1条“民族团结一家亲”正向评论计入；玩偶、空白@和领奖消息3条与法律议题无关，已排除；原始链接已补。</t>
  </si>
  <si>
    <t>监测材料截图 image7；2026-08-05补充核验母帖原始链接</t>
  </si>
  <si>
    <t>M21</t>
  </si>
  <si>
    <t>截图显示“1周前”，按2026-08-05暂估为7月29日</t>
  </si>
  <si>
    <t>唯一评论“我可没惹谁哈🌹🌹”语义不明，无法确认与法律内容的关系，未计入公众意见；原始链接已补。</t>
  </si>
  <si>
    <t>监测材料截图 image8；2026-08-05补充核验母帖原始链接</t>
  </si>
  <si>
    <t>M22</t>
  </si>
  <si>
    <t>民族团结进步促进法＋四川＋今起施行＋视频号评论</t>
  </si>
  <si>
    <t>7条评论均为点赞、爱心、鲜花等正向表态；母帖内容与本法直接相关，视频号链接已提供但未与截图逐条对应。</t>
  </si>
  <si>
    <t>监测材料截图 image21；视频号候选链接集合（未与截图逐条对应）</t>
  </si>
  <si>
    <t>M23</t>
  </si>
  <si>
    <t>截图显示2026-07-19 14:48</t>
  </si>
  <si>
    <t>民族团结进步促进法＋积石山＋西北民族大学＋微博评论</t>
  </si>
  <si>
    <t>截图可见4条评论：3条支持认可，1条“欢迎报考”与法律议题无关；其余5条未展开，不计入；原始链接已补。</t>
  </si>
  <si>
    <t>监测材料截图 image12、image13；2026-08-05补充核验母帖原始链接</t>
  </si>
  <si>
    <t>M24</t>
  </si>
  <si>
    <t>截图显示“今天17:03”，按2026-08-05记录</t>
  </si>
  <si>
    <t>民族团结进步促进法＋肃北＋落地答卷＋微博评论</t>
  </si>
  <si>
    <t>母帖与本法直接相关；可见评论“肃北盐池湾”仅为地点短语，未表达态度，另1条未展开，均不计入公众意见；原始链接已补。</t>
  </si>
  <si>
    <t>监测材料截图 image16；2026-08-05补充核验母帖原始链接</t>
  </si>
  <si>
    <t>M25</t>
  </si>
  <si>
    <t>截图显示2026-07-01 16:31</t>
  </si>
  <si>
    <t>民族团结进步促进法＋甘肃法治报＋法润石榴花＋微博评论</t>
  </si>
  <si>
    <t>截图可见8条评论，仅2条发表于7月1日且为正向表态；4条支持评论和2条无关评论发表于6月30日，另3条未展示，均不计入；原始链接已补。</t>
  </si>
  <si>
    <t>监测材料截图 image17、image18；2026-08-05补充核验母帖原始链接</t>
  </si>
  <si>
    <t>M26</t>
  </si>
  <si>
    <t>经移动端人工核验发布日期为2026-07-04</t>
  </si>
  <si>
    <t>民族团结进步促进法＋四川＋彝语＋就业歧视＋快手评论</t>
  </si>
  <si>
    <t>经移动端人工核验，账号IP属地为四川，发布日期为2026-07-04。视频采用彝语口播并配有中文字幕，字幕内容介绍该法的发布、施行及若干关键规定，已通过中文字幕人工核对确认与本法直接相关，非机器翻译。评论总数758条：79条文字评论中77条可明确分类；1条彝文评论经补充核查为无实际语义的无意义评论，1条语义不完整评论不计入；其余679条主要为重复赞同、666等正向评论，按聚合支持计入。</t>
  </si>
  <si>
    <t>快手原始链接、79条文字评论整理记录及其余679条重复正向评论汇总说明</t>
  </si>
  <si>
    <t>母帖账号</t>
  </si>
  <si>
    <t>母帖发布日期</t>
  </si>
  <si>
    <t>评论日期</t>
  </si>
  <si>
    <t>评论者公开昵称</t>
  </si>
  <si>
    <t>评论者公开地区</t>
  </si>
  <si>
    <t>评论原文</t>
  </si>
  <si>
    <t>评论形式</t>
  </si>
  <si>
    <t>信息量</t>
  </si>
  <si>
    <t>评论点赞量</t>
  </si>
  <si>
    <t>[藏文昵称1]</t>
  </si>
  <si>
    <t>青海</t>
  </si>
  <si>
    <t>❤️❤️👍👍👍👍</t>
  </si>
  <si>
    <t>表情型正向反馈</t>
  </si>
  <si>
    <t>法律宣传；普法解读</t>
  </si>
  <si>
    <t>表情符号</t>
  </si>
  <si>
    <t>评论内容已由截图核验；M01母帖原始链接已精确对应。评论为点赞、爱心等表情型支持，态度判断不依赖藏语正文。</t>
  </si>
  <si>
    <t>监测材料截图 image1</t>
  </si>
  <si>
    <t>[藏文昵称2]</t>
  </si>
  <si>
    <t>🙏、多个👍、🤝、🌹</t>
  </si>
  <si>
    <t>阿姐才才</t>
  </si>
  <si>
    <t>👍👍👍🌹🌹🌹🎉🎉</t>
  </si>
  <si>
    <t>[藏文昵称3]</t>
  </si>
  <si>
    <t>👍👍👍</t>
  </si>
  <si>
    <t>卢玉刚</t>
  </si>
  <si>
    <t>👍</t>
  </si>
  <si>
    <t>评论内容已由截图核验；日期按截图“26天前”推算，需回原帖确认；视频号链接已提供但未与截图逐条对应。</t>
  </si>
  <si>
    <t>监测材料截图 image2</t>
  </si>
  <si>
    <t>枪花</t>
  </si>
  <si>
    <t>清澈山泉</t>
  </si>
  <si>
    <t>👍👍👍👍</t>
  </si>
  <si>
    <t>评论内容已由截图核验；日期按截图“20天前”推算；视频号链接已提供但未与截图逐条对应。</t>
  </si>
  <si>
    <t>监测材料截图 image3</t>
  </si>
  <si>
    <t>晨曦微露</t>
  </si>
  <si>
    <t>评论内容已由截图核验；日期按截图“7天前”推算；视频号链接已提供但未与截图逐条对应。</t>
  </si>
  <si>
    <t>润苑玉</t>
  </si>
  <si>
    <t>未完整显示评论①</t>
  </si>
  <si>
    <t>该评论为点赞表情，与同一母帖下其他正向表情评论一致；截图未完整显示昵称和评论日期，但评论内容及支持态度可以确认。</t>
  </si>
  <si>
    <t>监测材料截图 image3；同组点赞评论核验记录</t>
  </si>
  <si>
    <t>未完整显示评论②</t>
  </si>
  <si>
    <t>沈凌云</t>
  </si>
  <si>
    <t>👍👍👍👍👍</t>
  </si>
  <si>
    <t>评论内容已由截图核验；视频号链接已提供但未与截图逐条对应。</t>
  </si>
  <si>
    <t>监测材料截图 image4</t>
  </si>
  <si>
    <t>0067</t>
  </si>
  <si>
    <t>👍👍</t>
  </si>
  <si>
    <t>智者的石头</t>
  </si>
  <si>
    <t>❤️❤️❤️❤️</t>
  </si>
  <si>
    <t>憧憬未来</t>
  </si>
  <si>
    <t>赞👍</t>
  </si>
  <si>
    <t>短语＋表情型正向反馈</t>
  </si>
  <si>
    <t>监测材料截图 image5、image13、image14</t>
  </si>
  <si>
    <t>Meteors~</t>
  </si>
  <si>
    <t>鹰</t>
  </si>
  <si>
    <t>促进民族团结是全社会的共同责任✊✊✊</t>
  </si>
  <si>
    <t>文字型正向观点</t>
  </si>
  <si>
    <t>文字型支持评论已由截图核验；日期按截图“6天前”推算；视频号链接已提供但未与截图逐条对应。</t>
  </si>
  <si>
    <t>监测材料截图 image6</t>
  </si>
  <si>
    <t>评论内容已由截图核验；日期按截图“23天前”推算；视频号链接已提供但未与截图逐条对应。</t>
  </si>
  <si>
    <t>监测材料截图 image7</t>
  </si>
  <si>
    <t>开心每一天</t>
  </si>
  <si>
    <t>内蒙古</t>
  </si>
  <si>
    <t>民族团结进步法，人人要学法，人人要懂法律知识，给主播点赞👍</t>
  </si>
  <si>
    <t>评论内容已由截图核验；日期按截图“6天前”推算；视频号链接已提供但未与截图逐条对应。</t>
  </si>
  <si>
    <t>监测材料截图 image8</t>
  </si>
  <si>
    <t>评论内容已由截图核验；日期按截图“14天前”推算；视频号链接已提供但未与截图逐条对应。</t>
  </si>
  <si>
    <t>监测材料截图 image9</t>
  </si>
  <si>
    <t>开心</t>
  </si>
  <si>
    <t>邦邦的</t>
  </si>
  <si>
    <t>短语型正向反馈</t>
  </si>
  <si>
    <t>评论内容已由截图核验；日期按截图“24天前”推算；视频号链接已提供但未与截图逐条对应。</t>
  </si>
  <si>
    <t>监测材料截图 image10</t>
  </si>
  <si>
    <t>瑞祥祥瑞</t>
  </si>
  <si>
    <t>评论内容已由截图核验；M12母帖原始链接已精确对应。评论为点赞表情，态度判断不依赖藏文内容。</t>
  </si>
  <si>
    <t>监测材料截图 image15</t>
  </si>
  <si>
    <t>[藏文昵称]</t>
  </si>
  <si>
    <t>评论内容已由截图核验；M12母帖原始链接已精确对应。昵称为藏文但不属于评论态度内容，无需据此判断态度。</t>
  </si>
  <si>
    <t>亚亚</t>
  </si>
  <si>
    <t>心里藏着小星星</t>
  </si>
  <si>
    <t>监测材料截图 image16</t>
  </si>
  <si>
    <t>飘过的那朵白云</t>
  </si>
  <si>
    <t>相信自己</t>
  </si>
  <si>
    <t>且行且珍惜3595</t>
  </si>
  <si>
    <t>黎明</t>
  </si>
  <si>
    <t>心锁4466</t>
  </si>
  <si>
    <t>李芳</t>
  </si>
  <si>
    <t>监测材料截图 image17</t>
  </si>
  <si>
    <t>马红红A</t>
  </si>
  <si>
    <t>浙江</t>
  </si>
  <si>
    <t>上善若水</t>
  </si>
  <si>
    <t>👍👍👍、666、666、666</t>
  </si>
  <si>
    <t>魏来可期</t>
  </si>
  <si>
    <t>昵称未显示</t>
  </si>
  <si>
    <t>🏅</t>
  </si>
  <si>
    <t>截图显示评论发表于“2周前”，准确日期待补。</t>
  </si>
  <si>
    <t>朝夕与四季</t>
  </si>
  <si>
    <t>赛尔</t>
  </si>
  <si>
    <t>安宁西路没有北</t>
  </si>
  <si>
    <t>责任</t>
  </si>
  <si>
    <t>新疆</t>
  </si>
  <si>
    <t>邱正权</t>
  </si>
  <si>
    <t>为中华民族复兴而奋斗。💯💯💯💯</t>
  </si>
  <si>
    <t>法律施行；中华民族共同体</t>
  </si>
  <si>
    <t>ire</t>
  </si>
  <si>
    <t>合法权益；法律施行</t>
  </si>
  <si>
    <t>大家好</t>
  </si>
  <si>
    <t>👍 给力</t>
  </si>
  <si>
    <t>走进美丽乡村</t>
  </si>
  <si>
    <t>👍👍👍👍👍👍👏👏</t>
  </si>
  <si>
    <t>羊汤烩面馆官方群号</t>
  </si>
  <si>
    <t>@ 👍👍👍👍👍</t>
  </si>
  <si>
    <t>截图底部可见该条，昵称和表情清晰，地区与准确日期未完整显示。</t>
  </si>
  <si>
    <t>未完整显示评论③</t>
  </si>
  <si>
    <t>正向点赞表情（截图未完整展示）</t>
  </si>
  <si>
    <t>按文档标注“7条赞同”补记；需回原评论区补充昵称、地区、日期和完整原文。</t>
  </si>
  <si>
    <t>闪烁遨游</t>
  </si>
  <si>
    <t>AI普法；法律解读</t>
  </si>
  <si>
    <t>截图显示评论发表于“3周前”，准确日期待补。</t>
  </si>
  <si>
    <t>王启全</t>
  </si>
  <si>
    <t>上海</t>
  </si>
  <si>
    <t>🙏🙏🙏</t>
  </si>
  <si>
    <t>法律施行；普法宣传</t>
  </si>
  <si>
    <t>截图显示评论发表于“1月前”，准确日期待补。</t>
  </si>
  <si>
    <t>监测材料截图 image5</t>
  </si>
  <si>
    <t>追光</t>
  </si>
  <si>
    <t>法律解读；地方普法</t>
  </si>
  <si>
    <t>截图显示评论发表于“1周前”，准确日期待补。</t>
  </si>
  <si>
    <t>灰太狼</t>
  </si>
  <si>
    <t>北京</t>
  </si>
  <si>
    <t>辫子戏严重破坏民族团结</t>
  </si>
  <si>
    <t>文字型无关评论</t>
  </si>
  <si>
    <t>无关评论</t>
  </si>
  <si>
    <t>疑似清代题材影视内容；与本法无直接关系</t>
  </si>
  <si>
    <t>已重新核对原视频，视频正文未提及“辫子戏”。补充检索显示，“辫子戏”一词可能指清代题材电视剧或影视内容；该评论未讨论《中华人民共和国民族团结进步促进法》及其实施，现按无关评论排除。</t>
  </si>
  <si>
    <t>抖音原视频及评论区复核记录；补充检索说明</t>
  </si>
  <si>
    <t>用户4746201645173</t>
  </si>
  <si>
    <t>民族团结一家亲的爱，加油加油加油……</t>
  </si>
  <si>
    <t>文字型正向表态</t>
  </si>
  <si>
    <t>民族团结；普法宣传</t>
  </si>
  <si>
    <t>原评论含大量重复“加油”，按低信息量支持表态计入。</t>
  </si>
  <si>
    <t>mall</t>
  </si>
  <si>
    <t>👍👍👍👍👍🌹🌹🌹🌹</t>
  </si>
  <si>
    <t>截图内容清晰，视频号链接已提供但未逐条对应。</t>
  </si>
  <si>
    <t>监测材料截图 image21</t>
  </si>
  <si>
    <t>snowangel</t>
  </si>
  <si>
    <t>西藏</t>
  </si>
  <si>
    <t>肖邦的夜曲</t>
  </si>
  <si>
    <t>麦木提敏</t>
  </si>
  <si>
    <t>👍👍👍👍👍🌹🌹🌹🌹🌹</t>
  </si>
  <si>
    <t>ARKIN.o</t>
  </si>
  <si>
    <t>👍👍👍👍👍👍👍👍</t>
  </si>
  <si>
    <t>陈小兵的爸爸</t>
  </si>
  <si>
    <t>👍👍👍👍❤️❤️🌹🌹</t>
  </si>
  <si>
    <t>*koz nuri</t>
  </si>
  <si>
    <t>灿星o</t>
  </si>
  <si>
    <t>🥳🥳🥳😇😇😇 民大学子👍</t>
  </si>
  <si>
    <t>表情＋短语型正向反馈</t>
  </si>
  <si>
    <t>社会实践；普法宣传；国家通用语言文字</t>
  </si>
  <si>
    <t>截图内容清晰，原始链接待补。</t>
  </si>
  <si>
    <t>监测材料截图 image12、image13</t>
  </si>
  <si>
    <t>千问</t>
  </si>
  <si>
    <t>看到大家在积石山县的实践，真的觉得很有意义。通过推广普通话和走访调研，不仅是在做实事，更是在用心感受这片土地的变化，这种知行合一的精神值得点赞。</t>
  </si>
  <si>
    <t>评论明确评价活动并表达认可。</t>
  </si>
  <si>
    <t>监测材料截图 image13</t>
  </si>
  <si>
    <t>OMJ_jngtan_zagam</t>
  </si>
  <si>
    <t>🥳🥳🥳</t>
  </si>
  <si>
    <t>王建定35118</t>
  </si>
  <si>
    <t>评论时间在监测窗口内。</t>
  </si>
  <si>
    <t>监测材料截图 image17、image18</t>
  </si>
  <si>
    <t>骆驼首领</t>
  </si>
  <si>
    <t>监测材料截图 image18</t>
  </si>
  <si>
    <t>未提供（快手文字评论01）</t>
  </si>
  <si>
    <t>未展示</t>
  </si>
  <si>
    <t>瓜娃子，就是不要，你有啥办法？</t>
  </si>
  <si>
    <t>文字型评论</t>
  </si>
  <si>
    <t>隐性拒录；企业规避；执法与举证困难</t>
  </si>
  <si>
    <t>采集阶段已从快手原始评论区逐条复制该评论，原话、母帖链接及上下文均可追溯；本轮复核后维持当前态度分类。</t>
  </si>
  <si>
    <t>快手原始评论区逐条采集记录</t>
  </si>
  <si>
    <t>未提供（快手文字评论02）</t>
  </si>
  <si>
    <t>只是嘴巴说说没用，我都知道好几个公司都不要彝族的 工程都在凉山的</t>
  </si>
  <si>
    <t>未提供（快手文字评论03）</t>
  </si>
  <si>
    <t>为什么不要，你们自己先找找原因</t>
  </si>
  <si>
    <t>就业公平；刻板印象；群体内部反思</t>
  </si>
  <si>
    <t>未提供（快手文字评论04）</t>
  </si>
  <si>
    <t>没用的人家找各种理不要你</t>
  </si>
  <si>
    <t>未提供（快手文字评论05）</t>
  </si>
  <si>
    <t>不要在网络上说这些那些了你们这些网上上说的真的是服了</t>
  </si>
  <si>
    <t>执行效果质疑；纸面落实；政策可信度</t>
  </si>
  <si>
    <t>未提供（快手文字评论06）</t>
  </si>
  <si>
    <t>不是你说了算</t>
  </si>
  <si>
    <t>未提供（快手文字评论07）</t>
  </si>
  <si>
    <t>一颗耗子屎害一锅汤</t>
  </si>
  <si>
    <t>未提供（快手文字评论08）</t>
  </si>
  <si>
    <t>我也是彝族是诺苏来自云南。但广东这边找工作他都要我，她们说只是不要四川大凉山的彝族。</t>
  </si>
  <si>
    <t>未提供（快手文字评论09）</t>
  </si>
  <si>
    <t>你说了 没有用 不要就是不要</t>
  </si>
  <si>
    <t>未提供（快手文字评论10）</t>
  </si>
  <si>
    <t>找工作明面上不说不要，你去找工作一听说你是彝族就直接以各种理由不接收你，所以没有办法的，只能改变自身让以后自己的子孙提高素质 和教育文化程度 渐渐在2 30年以后也许就会少一点</t>
  </si>
  <si>
    <t>未提供（快手文字评论11）</t>
  </si>
  <si>
    <t>直接在某个火车站，居然不让我们彝族人住，还理直气壮的说是派出所规定的，你说怎么解？</t>
  </si>
  <si>
    <t>就业歧视；住宿歧视；投诉处理</t>
  </si>
  <si>
    <t>未提供（快手文字评论12）</t>
  </si>
  <si>
    <t>真真假假 假假真真</t>
  </si>
  <si>
    <t>就业前景；偏见持续；下一代发展</t>
  </si>
  <si>
    <t>未提供（快手文字评论13）</t>
  </si>
  <si>
    <t>七月都快月底了，怎么我在这个地方还不招彝族人？为什么为什么？你能告诉我吗？这样下去彝族下一代没有地方打工了，你能告诉我吗？这么样解决？</t>
  </si>
  <si>
    <t>未提供（快手文字评论14）</t>
  </si>
  <si>
    <t>一般不会直说，看身份证说招满了，暂时不要了你能怎么办</t>
  </si>
  <si>
    <t>未提供（快手文字评论15）</t>
  </si>
  <si>
    <t>那也没多大用</t>
  </si>
  <si>
    <t>未提供（快手文字评论16）</t>
  </si>
  <si>
    <t>说的屁话</t>
  </si>
  <si>
    <t>未提供（快手文字评论17）</t>
  </si>
  <si>
    <t>浙江我这个公司现在说不要彝族人了，</t>
  </si>
  <si>
    <t>未提供（快手文字评论18）</t>
  </si>
  <si>
    <t>人家说的是满了不是不要</t>
  </si>
  <si>
    <t>未提供（快手文字评论19）</t>
  </si>
  <si>
    <t>公司秘密招人，一看身份证就彝族人，就是说临时不招，到时候招人了通知你们，这句话就完了</t>
  </si>
  <si>
    <t>未提供（快手文字评论20）</t>
  </si>
  <si>
    <t>有的企业故意破坏民族团结的应该严惩</t>
  </si>
  <si>
    <t>法律认可；依法保障；民族发展</t>
  </si>
  <si>
    <t>从快手758条评论中筛选整理的文字评论；评论昵称、时间和IP未提供，不根据措辞推断评论者地区。</t>
  </si>
  <si>
    <t>快手原始链接及文字评论整理记录</t>
  </si>
  <si>
    <t>未提供（快手文字评论21）</t>
  </si>
  <si>
    <t>很多公司不要彝族人</t>
  </si>
  <si>
    <t>未提供（快手文字评论22）</t>
  </si>
  <si>
    <t>上个月我在甘肃庆阳工地身份证一看老板说彝族不要就一个班都没上就回去了</t>
  </si>
  <si>
    <t>未提供（快手文字评论23）</t>
  </si>
  <si>
    <t>应该早就出来就好了</t>
  </si>
  <si>
    <t>未提供（快手文字评论24）</t>
  </si>
  <si>
    <t>垃圾太多了，不要怪你别人</t>
  </si>
  <si>
    <t>未提供（快手文字评论25）</t>
  </si>
  <si>
    <t>你说的是废话</t>
  </si>
  <si>
    <t>未提供（快手文字评论26）</t>
  </si>
  <si>
    <t>你说的是真的吗？</t>
  </si>
  <si>
    <t>政策层级；救济渠道；就业年龄</t>
  </si>
  <si>
    <t>未提供（快手文字评论27）</t>
  </si>
  <si>
    <t>不应该去怪别人 而是自我反省为什么被拒绝，我们诺苏一些年轻人素质教育需要改变</t>
  </si>
  <si>
    <t>未提供（快手文字评论28）</t>
  </si>
  <si>
    <t>珠三角大部分工厂不要四大名族</t>
  </si>
  <si>
    <t>未提供（快手文字评论29）</t>
  </si>
  <si>
    <t>国内不要 后辈好好的学习 我们诺苏后辈要不止步于国内 要走向世界</t>
  </si>
  <si>
    <t>未提供（快手文字评论30）</t>
  </si>
  <si>
    <t>广东那边怎么说</t>
  </si>
  <si>
    <t>未提供（快手文字评论31）</t>
  </si>
  <si>
    <t>白搭的 ，，人家又不会直接说 不要彝族啥的</t>
  </si>
  <si>
    <t>未提供（快手文字评论32）</t>
  </si>
  <si>
    <t>我都告了3年了！根本没人管</t>
  </si>
  <si>
    <t>未提供（快手文字评论33）</t>
  </si>
  <si>
    <t>有屁用 偏见永远会在</t>
  </si>
  <si>
    <t>未提供（快手文字评论34）</t>
  </si>
  <si>
    <t>彝族已满</t>
  </si>
  <si>
    <t>未提供（快手文字评论35）</t>
  </si>
  <si>
    <t>没用。人家看了你的身份证以后才说各种各样的理由拒绝你</t>
  </si>
  <si>
    <t>未提供（快手文字评论36）</t>
  </si>
  <si>
    <t>工厂不要彝族人去那个部门?</t>
  </si>
  <si>
    <t>未提供（快手文字评论37）</t>
  </si>
  <si>
    <t>瓜娃子我劝你不要胡说八道休息洗洗睡觉自欺欺人</t>
  </si>
  <si>
    <t>未提供（快手文字评论38）</t>
  </si>
  <si>
    <t>你说我的五</t>
  </si>
  <si>
    <t>无法判断</t>
  </si>
  <si>
    <t>语义不完整</t>
  </si>
  <si>
    <t>语义不明</t>
  </si>
  <si>
    <t>原文“你说我的五”语义不完整，无法判断与法律、就业或民族议题的具体关系，不计入公众统计。</t>
  </si>
  <si>
    <t>未提供（快手文字评论39）</t>
  </si>
  <si>
    <t>来江浙沪走一圈就知道了</t>
  </si>
  <si>
    <t>未提供（快手文字评论40）</t>
  </si>
  <si>
    <t>没事儿，多积点德 留给将来你的孙子孙女，在这里说这些没用的，什么新f，现在他们自己都难，还让你分蛋糕吃，痴心妄想</t>
  </si>
  <si>
    <t>未提供（快手文字评论41）</t>
  </si>
  <si>
    <t>不是你说了算，四川是彝族最多的，连成都不要彝族人，</t>
  </si>
  <si>
    <t>未提供（快手文字评论42）</t>
  </si>
  <si>
    <t>你相信吗？我不信。</t>
  </si>
  <si>
    <t>未提供（快手文字评论43）</t>
  </si>
  <si>
    <t>没有用的</t>
  </si>
  <si>
    <t>未提供（快手文字评论44）</t>
  </si>
  <si>
    <t>算了，这样话不要出来讲了大企业都不要 你不信我带你去</t>
  </si>
  <si>
    <t>未提供（快手文字评论45）</t>
  </si>
  <si>
    <t>那也没有办法去面试的时候一说是四川的，直接给你找各种理由了不是说人满了就是招满了</t>
  </si>
  <si>
    <t>未提供（快手文字评论46）</t>
  </si>
  <si>
    <t>教育落后，</t>
  </si>
  <si>
    <t>未提供（快手文字评论47）</t>
  </si>
  <si>
    <t>反正彝族找工作好难老是不要，感觉打工都打不下去了，</t>
  </si>
  <si>
    <t>未提供（快手文字评论48）</t>
  </si>
  <si>
    <t>公司老板都嫌弃彝族工难</t>
  </si>
  <si>
    <t>未提供（快手文字评论49）</t>
  </si>
  <si>
    <t>没有用的，该不要还是不要，工作难找啊</t>
  </si>
  <si>
    <t>未提供（快手文字评论50）</t>
  </si>
  <si>
    <t>你先说服了再说</t>
  </si>
  <si>
    <t>未提供（快手文字评论51）</t>
  </si>
  <si>
    <t>不是你说的就算</t>
  </si>
  <si>
    <t>未提供（快手文字评论52）</t>
  </si>
  <si>
    <t>那老人认识字吗会说普通话吗？你说个屁</t>
  </si>
  <si>
    <t>未提供（快手文字评论53）</t>
  </si>
  <si>
    <t>你说个屁</t>
  </si>
  <si>
    <t>未提供（快手文字评论54）</t>
  </si>
  <si>
    <t>人家不说民族 人家只说 不要人了 难不成你去告他吗 这些话大人忽悠小孩的</t>
  </si>
  <si>
    <t>未提供（快手文字评论55）</t>
  </si>
  <si>
    <t>今天几号了，你给我看清楚 ，还是七月一号 没看到四大名族不要吗</t>
  </si>
  <si>
    <t>未提供（快手文字评论56）</t>
  </si>
  <si>
    <t>不要说东说西连四川省会 成都都不要彝包</t>
  </si>
  <si>
    <t>未提供（快手文字评论57）</t>
  </si>
  <si>
    <t>人家没说不要彝族 看看你身份证 直接说暂时不招 暂时人🈵了</t>
  </si>
  <si>
    <t>未提供（快手文字评论58）</t>
  </si>
  <si>
    <t>那是不可能的 四川电力公司都不要</t>
  </si>
  <si>
    <t>未提供（快手文字评论59）</t>
  </si>
  <si>
    <t>说的特别好，希望我们民族越来越好，</t>
  </si>
  <si>
    <t>未提供（快手文字评论60）</t>
  </si>
  <si>
    <t>一颗耗子屎，坏了一锅粥，不怪别人</t>
  </si>
  <si>
    <t>未提供（快手文字评论61）</t>
  </si>
  <si>
    <t>你说了有个屁用</t>
  </si>
  <si>
    <t>未提供（快手文字评论62）</t>
  </si>
  <si>
    <t>有什么用，只会纸上谈兵</t>
  </si>
  <si>
    <t>未提供（快手文字评论63）</t>
  </si>
  <si>
    <t>我不想要你就不要你，你能把我怎样？因为用你我闲的麻烦。就是事实</t>
  </si>
  <si>
    <t>未提供（快手文字评论64）</t>
  </si>
  <si>
    <t>违法个屁，你还不知道外面现在好多厂不要四川彝族了</t>
  </si>
  <si>
    <t>未提供（快手文字评论65）</t>
  </si>
  <si>
    <t>说不说一样</t>
  </si>
  <si>
    <t>未提供（快手文字评论66）</t>
  </si>
  <si>
    <t>对于不用我们彝族的这点事你觉得会实现不、怎么就一天天的说这些没用的废话呐</t>
  </si>
  <si>
    <t>未提供（快手文字评论67）</t>
  </si>
  <si>
    <t>ꈨꏀꉾꐯꉾꏢꈨꀐ</t>
  </si>
  <si>
    <t>彝文无意义评论</t>
  </si>
  <si>
    <t>无实际语义内容；不构成态度表达</t>
  </si>
  <si>
    <t>彝文</t>
  </si>
  <si>
    <t>经补充核查，该彝文评论未形成可识别的实际语义内容，按无意义评论处理；不据此判断支持或不支持，也不纳入公众意见统计。</t>
  </si>
  <si>
    <t>快手原始评论区逐条采集记录；补充核查结果</t>
  </si>
  <si>
    <t>未提供（快手文字评论68）</t>
  </si>
  <si>
    <t>违法你又能拿他们有什么办法？</t>
  </si>
  <si>
    <t>未提供（快手文字评论69）</t>
  </si>
  <si>
    <t>这是中央文件还是四川省文件呢 是中央文件就好了</t>
  </si>
  <si>
    <t>未提供（快手文字评论70）</t>
  </si>
  <si>
    <t>自觉点吧！这些是没用的</t>
  </si>
  <si>
    <t>未提供（快手文字评论71）</t>
  </si>
  <si>
    <t>这个可以</t>
  </si>
  <si>
    <t>未提供（快手文字评论72）</t>
  </si>
  <si>
    <t>那55岁以上不要的是怎么办呀？</t>
  </si>
  <si>
    <t>未提供（快手文字评论73）</t>
  </si>
  <si>
    <t>你说的对，我们太高兴了</t>
  </si>
  <si>
    <t>未提供（快手文字评论74）</t>
  </si>
  <si>
    <t>百分之七十是不要了的</t>
  </si>
  <si>
    <t>未提供（快手文字评论75）</t>
  </si>
  <si>
    <t>人家企业想用你就用你 不想用你就没办法</t>
  </si>
  <si>
    <t>未提供（快手文字评论76）</t>
  </si>
  <si>
    <t>没有技术的永远富不起来的，所以让我们下一代把科技技术学好，自给自足，自己开企业，工厂</t>
  </si>
  <si>
    <t>未提供（快手文字评论77）</t>
  </si>
  <si>
    <t>说一大堆 成为一个饼</t>
  </si>
  <si>
    <t>未提供（快手文字评论78）</t>
  </si>
  <si>
    <t>太好了方便</t>
  </si>
  <si>
    <t>未提供（快手文字评论79）</t>
  </si>
  <si>
    <t>怎么都没有用的</t>
  </si>
  <si>
    <t>平台覆盖与纳入口径</t>
  </si>
  <si>
    <t>平台/渠道</t>
  </si>
  <si>
    <t>是否纳入有效舆情</t>
  </si>
  <si>
    <t>有效母帖/条目数</t>
  </si>
  <si>
    <t>有效公众意见数</t>
  </si>
  <si>
    <t>当前状态</t>
  </si>
  <si>
    <t>已纳入</t>
  </si>
  <si>
    <t>共纳入22条政府网站、地方媒体及官方公众号实施/传播信息。新增包括木里2篇县政府常务会议学习信息、马边2篇监测期内官方传播/实施信息和峨边1篇法院普法信息；无留言不影响官方信息纳入。</t>
  </si>
  <si>
    <t>视频号及微信平台</t>
  </si>
  <si>
    <t>共纳入14组视频号相关母帖、48条有效评论。M01和M12原始链接已精确对应；其余视频号链接仍作为候选集合保存，不与截图强行绑定。</t>
  </si>
  <si>
    <t>7组有效母帖、18条有效评论；广河县“辫子戏”评论经原视频核对和补充检索后判定为与本法无直接关系的无关评论，已排除。原始链接已精确回填。</t>
  </si>
  <si>
    <t>3组有效母帖、5条有效评论；原始链接已精确回填。</t>
  </si>
  <si>
    <t>母帖发布日期为2026-07-04。758条评论中756条计入：77条文字意见＋679条聚合支持。71条非支持文字意见已依据原始评论区逐条采集记录完成复核；1条彝文评论经补充核查为无意义评论、1条语义不完整评论排除。视频为彝语口播并配中文字幕，已人工核验。</t>
  </si>
  <si>
    <t>今日头条</t>
  </si>
  <si>
    <t>有结果时纳入</t>
  </si>
  <si>
    <t>暂未发现可核验原帖</t>
  </si>
  <si>
    <t>已检索，相关内容较少；找到可核验原帖后可纳入。</t>
  </si>
  <si>
    <t>小红书、知乎等其他平台</t>
  </si>
  <si>
    <t>已检索/暂未发现</t>
  </si>
  <si>
    <t>小红书、知乎已检索，暂未发现可核验有效内容。</t>
  </si>
  <si>
    <t>口径说明：M01和M12已精确定位原始视频号页面；其他视频号链接与截图未建立可靠对应关系时，仅保留候选链接集合。快手679条重复赞同、666类正向评论依据人工核验数量聚合计入，不补造逐条数据。</t>
  </si>
  <si>
    <t>截图及平台评论补充审查记录</t>
  </si>
  <si>
    <t>截图编号</t>
  </si>
  <si>
    <t>账号/母帖线索</t>
  </si>
  <si>
    <t>与本法直接关联</t>
  </si>
  <si>
    <t>是否在负责范围</t>
  </si>
  <si>
    <t>页面评论总数</t>
  </si>
  <si>
    <t>可计入意见数</t>
  </si>
  <si>
    <t>处理结果</t>
  </si>
  <si>
    <t>审查说明</t>
  </si>
  <si>
    <t>image1</t>
  </si>
  <si>
    <t>临夏市融媒体中心：7月1日起正式施行</t>
  </si>
  <si>
    <t>临夏市</t>
  </si>
  <si>
    <t>原表重复</t>
  </si>
  <si>
    <t>对应M15，7条支持认可，不重复新增。</t>
  </si>
  <si>
    <t>image2</t>
  </si>
  <si>
    <t>临夏市融媒体中心：依法保障各族群众合法权益</t>
  </si>
  <si>
    <t>对应M16；7条支持，助学贷款询问与本法无关。</t>
  </si>
  <si>
    <t>image3</t>
  </si>
  <si>
    <t>临夏市青年普法志愿活动/生态环境法典</t>
  </si>
  <si>
    <t>排除</t>
  </si>
  <si>
    <t>截图未明确提及本法，属于一般普法活动。</t>
  </si>
  <si>
    <t>image4</t>
  </si>
  <si>
    <t>甘肃省民族事务委员会：《如意普法》第二集</t>
  </si>
  <si>
    <t>甘肃省</t>
  </si>
  <si>
    <t>对应M17。</t>
  </si>
  <si>
    <t>image5</t>
  </si>
  <si>
    <t>甘肃省民族事务委员会：今日起施行</t>
  </si>
  <si>
    <t>对应M18。</t>
  </si>
  <si>
    <t>image6</t>
  </si>
  <si>
    <t>广河县融媒体中心：重点解读</t>
  </si>
  <si>
    <t>广河县</t>
  </si>
  <si>
    <t>原表重复/1条待复核</t>
  </si>
  <si>
    <t>对应M19；1条支持计入。“辫子戏严重破坏民族团结”经原视频核对及补充检索后，判断为疑似讨论清代题材电视剧或影视内容，与本法无直接关系，按无关评论排除。</t>
  </si>
  <si>
    <t>image7</t>
  </si>
  <si>
    <t>甘肃省民族事务委员会：《如意普法》第四集</t>
  </si>
  <si>
    <t>对应M20；其余3条为玩偶、空白@和领奖互动。</t>
  </si>
  <si>
    <t>image8</t>
  </si>
  <si>
    <t>曲水融媒：今日正式施行</t>
  </si>
  <si>
    <t>西藏曲水县</t>
  </si>
  <si>
    <t>不属于四川、甘肃负责地区。</t>
  </si>
  <si>
    <t>image9</t>
  </si>
  <si>
    <t>张家川融媒：序言与总则篇导读</t>
  </si>
  <si>
    <t>张家川县</t>
  </si>
  <si>
    <t>原表重复/不计评论</t>
  </si>
  <si>
    <t>对应M21；评论语义不明。</t>
  </si>
  <si>
    <t>image10</t>
  </si>
  <si>
    <t>甘州区专题学习评论区（续）</t>
  </si>
  <si>
    <t>甘州区</t>
  </si>
  <si>
    <t>与image15为同一母帖；甘州区不在覆盖自治州县范围。</t>
  </si>
  <si>
    <t>image11</t>
  </si>
  <si>
    <t>全国性法律新规汇总/厚大法考</t>
  </si>
  <si>
    <t>未明确</t>
  </si>
  <si>
    <t>无四川、甘肃负责民族地区指向。</t>
  </si>
  <si>
    <t>image12</t>
  </si>
  <si>
    <t>西北民族大学赴积石山县社会实践（上）</t>
  </si>
  <si>
    <t>积石山县</t>
  </si>
  <si>
    <t>新增M23</t>
  </si>
  <si>
    <t>本图可见1条支持评论。</t>
  </si>
  <si>
    <t>image13</t>
  </si>
  <si>
    <t>西北民族大学赴积石山县社会实践（下）</t>
  </si>
  <si>
    <t>新增M23续图</t>
  </si>
  <si>
    <t>2条支持；“欢迎报考”无关，另5条未展开。</t>
  </si>
  <si>
    <t>image14</t>
  </si>
  <si>
    <t>西北民族大学天祝实践：普法宣传广场</t>
  </si>
  <si>
    <t>天祝县</t>
  </si>
  <si>
    <t>待核实</t>
  </si>
  <si>
    <t>暂不计入</t>
  </si>
  <si>
    <t>截图未显示正文明确提及本法。</t>
  </si>
  <si>
    <t>image15</t>
  </si>
  <si>
    <t>甘州区营商环境建设局专题学习</t>
  </si>
  <si>
    <t>与image10同一母帖，地区不在负责范围。</t>
  </si>
  <si>
    <t>image16</t>
  </si>
  <si>
    <t>酒泉市融媒体中心：肃北落地答卷</t>
  </si>
  <si>
    <t>肃北县</t>
  </si>
  <si>
    <t>新增M24</t>
  </si>
  <si>
    <t>母帖有效；可见评论仅为地点短语，另1条未展开。</t>
  </si>
  <si>
    <t>image17</t>
  </si>
  <si>
    <t>甘肃法治报主题宣传活动（上）</t>
  </si>
  <si>
    <t>新增M25</t>
  </si>
  <si>
    <t>本图可见1条7月1日支持评论；6月30日评论不计。</t>
  </si>
  <si>
    <t>image18</t>
  </si>
  <si>
    <t>甘肃法治报主题宣传活动（下）</t>
  </si>
  <si>
    <t>新增M25续图</t>
  </si>
  <si>
    <t>另1条7月1日支持评论；其余为6月30日或无关。</t>
  </si>
  <si>
    <t>image19</t>
  </si>
  <si>
    <t>民族语言/服饰相关评论截图</t>
  </si>
  <si>
    <t>缺少母帖、账号、法律关联及地区信息。</t>
  </si>
  <si>
    <t>image20</t>
  </si>
  <si>
    <t>天祝县“同心铸魂促团结 文化惠民聚合力”</t>
  </si>
  <si>
    <t>一般民族团结宣传，未明确关联本法。</t>
  </si>
  <si>
    <t>image21</t>
  </si>
  <si>
    <t>同心四川：今起施行</t>
  </si>
  <si>
    <t>四川省</t>
  </si>
  <si>
    <t>新增M22</t>
  </si>
  <si>
    <t>7条正向表情评论全部计入支持认可。</t>
  </si>
  <si>
    <t>image22</t>
  </si>
  <si>
    <t>临夏县专题宣讲活动</t>
  </si>
  <si>
    <t>临夏县</t>
  </si>
  <si>
    <t>对应M14。</t>
  </si>
  <si>
    <t>image23</t>
  </si>
  <si>
    <t>H遂宁：干部群众热议</t>
  </si>
  <si>
    <t>遂宁市</t>
  </si>
  <si>
    <t>遂宁市不在负责民族自治地区范围。</t>
  </si>
  <si>
    <t>image24</t>
  </si>
  <si>
    <t>肃北县融媒体中心：解读（八）</t>
  </si>
  <si>
    <t>对应M07。</t>
  </si>
  <si>
    <t>image25</t>
  </si>
  <si>
    <t>看这里是肃北：基层群团组织责任</t>
  </si>
  <si>
    <t>对应M06。</t>
  </si>
  <si>
    <t>image26</t>
  </si>
  <si>
    <t>肃北马鬃山宣传活动</t>
  </si>
  <si>
    <t>对应M05。</t>
  </si>
  <si>
    <t>image27</t>
  </si>
  <si>
    <t>肃北解读（十九）</t>
  </si>
  <si>
    <t>对应M08。</t>
  </si>
  <si>
    <t>image28</t>
  </si>
  <si>
    <t>肃北解读（十四）</t>
  </si>
  <si>
    <t>对应M09。</t>
  </si>
  <si>
    <t>image29</t>
  </si>
  <si>
    <t>雪域普法微课堂第三期</t>
  </si>
  <si>
    <t>对应M10。</t>
  </si>
  <si>
    <t>image30</t>
  </si>
  <si>
    <t>视听东乡：进基层宣讲</t>
  </si>
  <si>
    <t>东乡县</t>
  </si>
  <si>
    <t>对应M13。</t>
  </si>
  <si>
    <t>image31</t>
  </si>
  <si>
    <t>阿坝鼓声：各族共同走向现代化（16）</t>
  </si>
  <si>
    <t>阿坝州</t>
  </si>
  <si>
    <t>对应M12；3条点赞评论计入支持认可。原始链接已精确对应：https://weixin.qq.com/sph/An9TpnhX6uz。视频含藏文，具体内容待藏语人员复核。</t>
  </si>
  <si>
    <t>image32</t>
  </si>
  <si>
    <t>临夏市基层专题宣讲</t>
  </si>
  <si>
    <t>对应M04；1条复制母帖文案排除。</t>
  </si>
  <si>
    <t>image33</t>
  </si>
  <si>
    <t>临夏市法律全文解读</t>
  </si>
  <si>
    <t>对应M02；1条复制母帖文案排除。</t>
  </si>
  <si>
    <t>image34</t>
  </si>
  <si>
    <t>甘南融媒藏语平台第一期</t>
  </si>
  <si>
    <t>甘南州</t>
  </si>
  <si>
    <t>对应M01；4条表情型支持评论计入。原始链接已精确对应：https://weixin.qq.com/sph/AtykZndKEg。藏语/藏文正文具体语义待藏语人员复核。</t>
  </si>
  <si>
    <t>image35</t>
  </si>
  <si>
    <t>临夏市核心内容解读</t>
  </si>
  <si>
    <t>对应M03；1条复制母帖文案排除。</t>
  </si>
  <si>
    <t>快手补充</t>
  </si>
  <si>
    <t>放猪老人~迪日尔古：彝语讲解民族团结进步促进法</t>
  </si>
  <si>
    <t>四川省/凉山相关议题；发布日期2026-07-04</t>
  </si>
  <si>
    <t>新增M26</t>
  </si>
  <si>
    <t>快手母帖日期为2026-07-04。79条文字评论由原始评论区逐条采集，其中77条计入，71条非支持意见已完成复核；另679条重复正向评论聚合计入。视频为彝语口播并配中文字幕，已人工核验；1条彝文评论经补充核查为无实际语义的无意义评论，已排除。</t>
  </si>
  <si>
    <t>公众号补充01</t>
  </si>
  <si>
    <t>微信公众号</t>
  </si>
  <si>
    <t>同心马边：四川部署24项任务推动本法学习贯彻</t>
  </si>
  <si>
    <t>四川省/马边账号传播</t>
  </si>
  <si>
    <t>新增官方实施信息</t>
  </si>
  <si>
    <t>2026-07-21；省级24项任务部署，由马边相关官方账号传播；无公众留言。</t>
  </si>
  <si>
    <t>公众号补充02</t>
  </si>
  <si>
    <t>同心马边：本法国家通用语言文字和民族文字对照版出版</t>
  </si>
  <si>
    <t>马边县/全国性内容</t>
  </si>
  <si>
    <t>新增官方传播信息</t>
  </si>
  <si>
    <t>2026-07-02；多语种法律文本出版信息；无公众留言。</t>
  </si>
  <si>
    <t>公众号补充03</t>
  </si>
  <si>
    <t>木里融媒：县政府第96次常务会议</t>
  </si>
  <si>
    <t>木里县</t>
  </si>
  <si>
    <t>2026-07-13；县政府常务会议集中学习本法；无公众留言。</t>
  </si>
  <si>
    <t>公众号补充04</t>
  </si>
  <si>
    <t>木里融媒：县政府第97次常务会议</t>
  </si>
  <si>
    <t>2026-07-30；再次集中学习本法，属于独立后续贯彻信息；无公众留言。</t>
  </si>
  <si>
    <t>公众号补充05</t>
  </si>
  <si>
    <t>峨边彝族自治县人民法院：本法于今日施行</t>
  </si>
  <si>
    <t>峨边县</t>
  </si>
  <si>
    <t>2026-07-01；法院发布施行日普法内容；无可计入留言。</t>
  </si>
  <si>
    <t>公众号补充06</t>
  </si>
  <si>
    <t>今日马边：自治县委常委会召开（扩大）会议</t>
  </si>
  <si>
    <t>马边县</t>
  </si>
  <si>
    <t>2026-07-15；截图可见正文未涉及本法或其实施，不纳入。</t>
  </si>
  <si>
    <t>已审查材料中可计入公众意见合计</t>
  </si>
  <si>
    <t>总计827条；本轮新增公众号官方信息不增加公众意见数</t>
  </si>
  <si>
    <t>快手平台重点舆情专题：彝语普法视频评论分析</t>
  </si>
  <si>
    <t>字段</t>
  </si>
  <si>
    <t>内容</t>
  </si>
  <si>
    <t>79条文字样本意见类型</t>
  </si>
  <si>
    <t>快手758条总体统计</t>
  </si>
  <si>
    <t>账号</t>
  </si>
  <si>
    <t>逐条整理的文字评论</t>
  </si>
  <si>
    <t>账号IP属地</t>
  </si>
  <si>
    <t>四川（经移动端人工核验）</t>
  </si>
  <si>
    <t>未逐条展开的重复支持评论</t>
  </si>
  <si>
    <t>视频内容</t>
  </si>
  <si>
    <t>视频采用彝语口播并配有中文字幕；中文字幕介绍该法的发布、施行及若干关键规定</t>
  </si>
  <si>
    <t>文字评论中的支持认可</t>
  </si>
  <si>
    <t>发布时间</t>
  </si>
  <si>
    <t>2026-07-04（经移动端人工核验）</t>
  </si>
  <si>
    <t>支持认可合计</t>
  </si>
  <si>
    <t>其他有效文字意见</t>
  </si>
  <si>
    <t>文字评论样本</t>
  </si>
  <si>
    <t>79条：77条可明确分类并计入，1条彝文评论经补充核查为无意义评论，1条语义不完整评论不计入；其中71条非支持意见由原始评论区逐条采集并已完成复核</t>
  </si>
  <si>
    <t>待复核/不计入</t>
  </si>
  <si>
    <t>彝文待复核</t>
  </si>
  <si>
    <t>有效公众意见合计</t>
  </si>
  <si>
    <t>语义不完整不计入</t>
  </si>
  <si>
    <t>合计文字样本</t>
  </si>
  <si>
    <t>主要舆情主题</t>
  </si>
  <si>
    <t>主题</t>
  </si>
  <si>
    <t>具体表现</t>
  </si>
  <si>
    <t>代表性内容特征</t>
  </si>
  <si>
    <t>主要意见类型</t>
  </si>
  <si>
    <t>是否需关注</t>
  </si>
  <si>
    <t>复核要求</t>
  </si>
  <si>
    <t/>
  </si>
  <si>
    <t>就业歧视与隐性拒录</t>
  </si>
  <si>
    <t>多条评论反映企业查看身份证后以“招满”“暂不招”等理由拒绝彝族求职者</t>
  </si>
  <si>
    <t>涉及凉山、成都、广东、浙江、珠三角、庆阳工地等场景</t>
  </si>
  <si>
    <t>实施问题/投诉维权</t>
  </si>
  <si>
    <t>需核实具体企业、地点和证据</t>
  </si>
  <si>
    <t>法律执行效果质疑</t>
  </si>
  <si>
    <t>大量评论认为法律停留在口头或纸面，企业可通过隐性方式规避</t>
  </si>
  <si>
    <t>常见表述包括“没用”“纸上谈兵”“不是你说了算”</t>
  </si>
  <si>
    <t>明确批评/实施问题</t>
  </si>
  <si>
    <t>可作为执行难与举证难线索</t>
  </si>
  <si>
    <t>投诉与救济渠道</t>
  </si>
  <si>
    <t>评论询问工厂拒收彝族应向哪个部门投诉，也有人称投诉多年无人处理</t>
  </si>
  <si>
    <t>涉及劳动就业、住宿拒绝和投诉反馈</t>
  </si>
  <si>
    <t>咨询疑问/投诉维权</t>
  </si>
  <si>
    <t>建议关注劳动监察、12345等公开回应渠道</t>
  </si>
  <si>
    <t>就业前景与代际担忧</t>
  </si>
  <si>
    <t>担心彝族下一代难以外出务工，偏见长期存在</t>
  </si>
  <si>
    <t>同时出现学习技术、提高教育水平、自己创业等自助建议</t>
  </si>
  <si>
    <t>担忧影响/公平争议</t>
  </si>
  <si>
    <t>区分现实问题与群体刻板印象</t>
  </si>
  <si>
    <t>支持与政策期待</t>
  </si>
  <si>
    <t>少量评论明确支持法律或表示高兴，并希望严惩破坏民族团结的企业</t>
  </si>
  <si>
    <t>包括“说得特别好”“这个可以”“太好了”等</t>
  </si>
  <si>
    <t>一般</t>
  </si>
  <si>
    <t>可作为正向态度记录</t>
  </si>
  <si>
    <t>民族语言内容</t>
  </si>
  <si>
    <t>视频使用彝语，另有1条彝文评论</t>
  </si>
  <si>
    <t>彝文评论尚未翻译</t>
  </si>
  <si>
    <t>待核实信息</t>
  </si>
  <si>
    <t>彝文评论经补充核查为无实际语义的无意义评论；视频本身已依据发布者自带中文字幕人工核验，非机器翻译</t>
  </si>
  <si>
    <t>统计边界：快手母帖发布日期为2026-07-04，共有758条评论。79条文字评论由原始评论区逐条采集，其中77条计入；71条非支持意见已完成复核。其余679条主要为重复赞同、666等正向评论，按聚合数量计入。视频采用彝语口播并配中文字幕，法律关联依据中文字幕人工核对；1条彝文评论经补充核查为无实际语义的无意义评论，另1条语义不完整评论不计入。</t>
  </si>
  <si>
    <t>未逐条展开评论的聚合统计</t>
  </si>
  <si>
    <t>内容说明</t>
  </si>
  <si>
    <t>聚合数量</t>
  </si>
  <si>
    <t>统计依据/备注</t>
  </si>
  <si>
    <t>未逐条展开的重复“赞同、666”等正向评论</t>
  </si>
  <si>
    <t>母帖发布日期为2026-07-04，评论总数758条。79条文字评论由原始评论区逐条采集；其余679条经人工核验主要为重复赞同、666等正向评论，按聚合数量计入支持认可。聚合记录不补造昵称、时间、IP或逐条原文。</t>
  </si>
  <si>
    <t>原始链接及视频号候选链接清单</t>
  </si>
  <si>
    <t>对应母帖/线索</t>
  </si>
  <si>
    <t>账号或标题简写</t>
  </si>
  <si>
    <t>纳入状态</t>
  </si>
  <si>
    <t>回填位置</t>
  </si>
  <si>
    <t>D01</t>
  </si>
  <si>
    <t>临夏市：7月1日起施行</t>
  </si>
  <si>
    <t>有效母帖</t>
  </si>
  <si>
    <t>母帖/有效舆情/评论明细</t>
  </si>
  <si>
    <t>标题与既有记录可直接对应</t>
  </si>
  <si>
    <t>D02</t>
  </si>
  <si>
    <t>临夏市：民生温度、合法权益</t>
  </si>
  <si>
    <t>D03</t>
  </si>
  <si>
    <t>排除记录16</t>
  </si>
  <si>
    <t>临夏青年普法志愿活动</t>
  </si>
  <si>
    <t>https://v.douyin.com/uUgt7hrrFfQ/</t>
  </si>
  <si>
    <t>排除记录</t>
  </si>
  <si>
    <t>未明确直接涉及本法</t>
  </si>
  <si>
    <t>D04</t>
  </si>
  <si>
    <t>如意普法第二集</t>
  </si>
  <si>
    <t>D05</t>
  </si>
  <si>
    <t>该法今日起施行</t>
  </si>
  <si>
    <t>D06</t>
  </si>
  <si>
    <t>广河：重点来了</t>
  </si>
  <si>
    <t>1条点赞评论计入；另1条“辫子戏”评论经原视频核对及补充检索后判定为与本法无直接关系的无关评论，已排除</t>
  </si>
  <si>
    <t>D07</t>
  </si>
  <si>
    <t>如意普法第四集</t>
  </si>
  <si>
    <t>D08</t>
  </si>
  <si>
    <t>排除记录19</t>
  </si>
  <si>
    <t>曲水融媒：7月1日正式施行</t>
  </si>
  <si>
    <t>https://v.douyin.com/zj1q_L1Kj7U/</t>
  </si>
  <si>
    <t>西藏曲水县，不属于负责范围</t>
  </si>
  <si>
    <t>D09</t>
  </si>
  <si>
    <t>张家川：序言与总则篇导读</t>
  </si>
  <si>
    <t>母帖有效，唯一评论未计入</t>
  </si>
  <si>
    <t>W01</t>
  </si>
  <si>
    <t>西北民族大学：积石山社会实践</t>
  </si>
  <si>
    <t>按本轮微博链接整理顺序与既有截图顺序对应</t>
  </si>
  <si>
    <t>W02</t>
  </si>
  <si>
    <t>排除记录23</t>
  </si>
  <si>
    <t>西北民族大学：天祝普法实践</t>
  </si>
  <si>
    <t>https://weibo.com/5632927564/R9oRdiCa2?refer_flag=1001030103_</t>
  </si>
  <si>
    <t>待核实/暂不计入</t>
  </si>
  <si>
    <t>截图未显示正文明确提及本法</t>
  </si>
  <si>
    <t>W03</t>
  </si>
  <si>
    <t>酒泉市融媒体：肃北落地答卷</t>
  </si>
  <si>
    <t>母帖/有效舆情</t>
  </si>
  <si>
    <t>评论未形成有效意见</t>
  </si>
  <si>
    <t>W04</t>
  </si>
  <si>
    <t>甘肃法治报：法润石榴花</t>
  </si>
  <si>
    <t>仅7月1日2条评论计入</t>
  </si>
  <si>
    <t>W05</t>
  </si>
  <si>
    <t>排除记录27</t>
  </si>
  <si>
    <t>天祝：同心铸魂促团结</t>
  </si>
  <si>
    <t>https://weibo.com/8267410122/R6x6L2Uwd?refer_flag=1001030103_</t>
  </si>
  <si>
    <t>一般民族团结宣传，未明确关联本法</t>
  </si>
  <si>
    <t>V01</t>
  </si>
  <si>
    <t>视频号候选链接</t>
  </si>
  <si>
    <t>候选链接01</t>
  </si>
  <si>
    <t>https://weixin.qq.com/sph/ArvimpW0uK</t>
  </si>
  <si>
    <t>未逐条对应</t>
  </si>
  <si>
    <t>仅保留在本清单</t>
  </si>
  <si>
    <t>经核对，该组视频号链接与此前评论截图并非一一对应，因此不强行绑定具体母帖，仅作为本轮已找到的视频号原始链接集合。</t>
  </si>
  <si>
    <t>V02</t>
  </si>
  <si>
    <t>候选链接02</t>
  </si>
  <si>
    <t>https://weixin.qq.com/sph/ATbO07jbSx</t>
  </si>
  <si>
    <t>V03</t>
  </si>
  <si>
    <t>候选链接03</t>
  </si>
  <si>
    <t>https://weixin.qq.com/sph/ApADM9fGQl</t>
  </si>
  <si>
    <t>V04</t>
  </si>
  <si>
    <t>候选链接04</t>
  </si>
  <si>
    <t>https://weixin.qq.com/sph/AoN33MsGMH</t>
  </si>
  <si>
    <t>V05</t>
  </si>
  <si>
    <t>候选链接05</t>
  </si>
  <si>
    <t>https://weixin.qq.com/sph/AvNOrMpv3N</t>
  </si>
  <si>
    <t>V06</t>
  </si>
  <si>
    <t>候选链接06</t>
  </si>
  <si>
    <t>https://weixin.qq.com/sph/AWFgsqOGsa</t>
  </si>
  <si>
    <t>V07</t>
  </si>
  <si>
    <t>候选链接07</t>
  </si>
  <si>
    <t>https://weixin.qq.com/sph/AH58PDXXAb</t>
  </si>
  <si>
    <t>V08</t>
  </si>
  <si>
    <t>候选链接08</t>
  </si>
  <si>
    <t>https://weixin.qq.com/sph/AlQ5Dl10Y6</t>
  </si>
  <si>
    <t>V09</t>
  </si>
  <si>
    <t>候选链接09</t>
  </si>
  <si>
    <t>https://weixin.qq.com/sph/Asce8xpLlB</t>
  </si>
  <si>
    <t>V10</t>
  </si>
  <si>
    <t>候选链接10</t>
  </si>
  <si>
    <t>https://weixin.qq.com/sph/AMnjLphxwE</t>
  </si>
  <si>
    <t>V11</t>
  </si>
  <si>
    <t>候选链接11</t>
  </si>
  <si>
    <t>https://weixin.qq.com/sph/ADthvzcRe9</t>
  </si>
  <si>
    <t>V12</t>
  </si>
  <si>
    <t>候选链接12</t>
  </si>
  <si>
    <t>https://weixin.qq.com/sph/AC0qfr4wlW</t>
  </si>
  <si>
    <t>V13</t>
  </si>
  <si>
    <t>候选链接13</t>
  </si>
  <si>
    <t>https://weixin.qq.com/sph/AgQvlrpYdr</t>
  </si>
  <si>
    <t>V14</t>
  </si>
  <si>
    <t>候选链接14</t>
  </si>
  <si>
    <t>https://weixin.qq.com/sph/APSt799yrD</t>
  </si>
  <si>
    <t>V15</t>
  </si>
  <si>
    <t>候选链接15</t>
  </si>
  <si>
    <t>https://weixin.qq.com/sph/AGkeR2GPKK</t>
  </si>
  <si>
    <t>V16</t>
  </si>
  <si>
    <t>甘南融媒藏语平台：促进法第一期</t>
  </si>
  <si>
    <t>有效母帖／已精确对应</t>
  </si>
  <si>
    <t>母帖/有效舆情/评论明细/语言复核</t>
  </si>
  <si>
    <t>已核对对应M01；藏语/藏文正文具体语义仍待藏语人员复核。</t>
  </si>
  <si>
    <t>V17</t>
  </si>
  <si>
    <t>已核对对应M12；视频含藏文，具体内容仍待藏语人员复核。</t>
  </si>
  <si>
    <t>监测工作量与有效信息统计补充</t>
  </si>
  <si>
    <t>统计指标</t>
  </si>
  <si>
    <t>统计口径与说明</t>
  </si>
  <si>
    <t>按检索日志中实际列明并检查的政府网站、地方媒体、公众号或账号去重统计，共57个具体来源；不重复计算百度等泛化搜索入口。</t>
  </si>
  <si>
    <t>政府网站及地方媒体、微信/视频号、抖音、微博、快手、今日头条、小红书、知乎。</t>
  </si>
  <si>
    <t>按已打开的文章、帖子、视频页面、评论区和留言信息估算；包含部分评论区总量及聚合统计，不等同于全部逐条完整展开。</t>
  </si>
  <si>
    <t>47条有效母帖/文章＋827条有效公众意见。一般民族文化、民族团结等但与本法无直接关联的浏览结果未逐条编号，因此仅报告可确认下限。</t>
  </si>
  <si>
    <t>47条与《中华人民共和国民族团结进步促进法》及其实施明确相关的母帖/文章＋827条有效公众意见。</t>
  </si>
  <si>
    <t>有效母帖/文章</t>
  </si>
  <si>
    <t>其中政府网站、地方媒体及官方公众号实施/传播信息22条，社交平台有效母帖25组。</t>
  </si>
  <si>
    <t>有效公众意见</t>
  </si>
  <si>
    <t>支持认可756条；咨询疑问5条；担忧影响7条；明确批评19条；投诉维权4条；实施问题24条；公平争议12条。</t>
  </si>
  <si>
    <t>共复核72条疑似非支持或问题性评论：快手71条依据原始评论区逐条采集记录完成复核并维持分类；抖音“辫子戏”1条经原视频核对及补充检索后判定为与本法无直接关系的无关评论，已排除。</t>
  </si>
  <si>
    <t>共核查4项少数民族语言内容：快手彝语视频依据自带中文字幕完成人工核验；1条彝文评论经补充核查为无实际语义的无意义评论；M01、M12两组藏语/藏文视频正文仍待藏语人员复核。</t>
  </si>
  <si>
    <t>说明事项</t>
  </si>
  <si>
    <t>当前处理</t>
  </si>
  <si>
    <t>是否影响本轮统计</t>
  </si>
  <si>
    <t>视频号原始链接</t>
  </si>
  <si>
    <t>M01、M12已精确对应；其余15条为候选链接集合</t>
  </si>
  <si>
    <t>重点少数民族语言母帖可直接回溯；其余链接不强行误配，不影响本轮统计</t>
  </si>
  <si>
    <t>少数民族语言内容</t>
  </si>
  <si>
    <t>无法可靠翻译的藏语/彝文内容统一标记待相应语言人员复核，不依据机器翻译判断态度。</t>
  </si>
  <si>
    <t>否；未确认内容不计入态度统计</t>
  </si>
  <si>
    <t>非支持态度原始页面复核明细</t>
  </si>
  <si>
    <t>评论原话</t>
  </si>
  <si>
    <t>原分类</t>
  </si>
  <si>
    <t>复核后分类</t>
  </si>
  <si>
    <t>原页面核验方式</t>
  </si>
  <si>
    <t>复核结果</t>
  </si>
  <si>
    <t>是否计入</t>
  </si>
  <si>
    <t>最终状态</t>
  </si>
  <si>
    <t>采集阶段由快手原始评论区逐条复制</t>
  </si>
  <si>
    <t>原话、母帖链接及上下文可追溯；本轮复核后维持当前态度分类。</t>
  </si>
  <si>
    <t>已复核</t>
  </si>
  <si>
    <t>重新打开原视频核对＋补充检索</t>
  </si>
  <si>
    <t>原视频未提及“辫子戏”；补充检索显示该说法可能指清代题材电视剧或影视内容，与本法及其实施无直接关系。</t>
  </si>
  <si>
    <t>已复核；无关评论，不计入</t>
  </si>
  <si>
    <t>少数民族语言内容复核明细</t>
  </si>
  <si>
    <t>记录编号</t>
  </si>
  <si>
    <t>关联编号</t>
  </si>
  <si>
    <t>平台/账号</t>
  </si>
  <si>
    <t>内容类型</t>
  </si>
  <si>
    <t>原文或可见内容</t>
  </si>
  <si>
    <t>中文翻译/字幕内容</t>
  </si>
  <si>
    <t>翻译方式</t>
  </si>
  <si>
    <t>与本法关联复核</t>
  </si>
  <si>
    <t>态度复核</t>
  </si>
  <si>
    <t>L01</t>
  </si>
  <si>
    <t>视频号／甘南融媒藏语平台</t>
  </si>
  <si>
    <t>母帖视频</t>
  </si>
  <si>
    <t>监测截图已保留；未取得可复制的藏文全文。</t>
  </si>
  <si>
    <t>暂无可靠人工翻译。</t>
  </si>
  <si>
    <t>未翻译；不采用机器翻译直接判断态度。</t>
  </si>
  <si>
    <t>中文标题明确出现《中华人民共和国民族团结进步促进法》，母帖与本法相关；藏语正文细节待复核。</t>
  </si>
  <si>
    <t>母帖为普法传播；4条评论均为表情型支持，评论态度不依赖藏语语义。</t>
  </si>
  <si>
    <t>原始链接已核验；待藏语人员复核正文</t>
  </si>
  <si>
    <t>L02</t>
  </si>
  <si>
    <t>视频号／阿坝鼓声</t>
  </si>
  <si>
    <t>监测截图已保留；视频含藏文，未取得可复制的藏文全文。</t>
  </si>
  <si>
    <t>中文标题及页面说明与本法直接相关；藏文具体内容待复核。</t>
  </si>
  <si>
    <t>3条评论均为点赞表情，评论态度不依赖藏文语义；藏文昵称不作为态度内容翻译。</t>
  </si>
  <si>
    <t>原始链接已核验；待藏语人员复核藏文内容</t>
  </si>
  <si>
    <t>L03</t>
  </si>
  <si>
    <t>快手／放猪老人~迪日尔古</t>
  </si>
  <si>
    <t>彝语口播未逐字转写；视频自带中文字幕。</t>
  </si>
  <si>
    <t>中文字幕介绍《中华人民共和国民族团结进步促进法》的发布、施行，并讲解若干关键规定。</t>
  </si>
  <si>
    <t>视频发布者自带中文字幕；人工阅读核验，非机器翻译。</t>
  </si>
  <si>
    <t>中文字幕明确涉及该法及相关规定，与本法直接相关。</t>
  </si>
  <si>
    <t>母帖属于法律宣传和条文解读，不作为公众支持或反对意见；评论态度另行统计。</t>
  </si>
  <si>
    <t>已人工复核</t>
  </si>
  <si>
    <t>L04</t>
  </si>
  <si>
    <t>M26-评论67</t>
  </si>
  <si>
    <t>公众评论</t>
  </si>
  <si>
    <t>无实际语义内容（经补充核查）。</t>
  </si>
  <si>
    <t>人工补充核查；未以机器翻译作态度判断。</t>
  </si>
  <si>
    <t>该评论未形成可识别的法律相关语义，不构成与本法相关的信息。</t>
  </si>
  <si>
    <t>无明确支持或反对态度，按无意义评论处理。</t>
  </si>
  <si>
    <t>已复核；无意义评论，不计入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</si>
</sst>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s>
  <fonts count="33">
    <font>
      <sz val="11"/>
      <name val="Carlito"/>
      <charset val="134"/>
    </font>
    <font>
      <b/>
      <sz val="15"/>
      <color rgb="FFFFFFFF"/>
      <name val="Carlito"/>
      <charset val="134"/>
    </font>
    <font>
      <b/>
      <sz val="11"/>
      <color rgb="FFFFFFFF"/>
      <name val="Carlito"/>
      <charset val="134"/>
    </font>
    <font>
      <b/>
      <sz val="11"/>
      <color rgb="FF17365D"/>
      <name val="Carlito"/>
      <charset val="134"/>
    </font>
    <font>
      <b/>
      <sz val="16"/>
      <color rgb="FFFFFFFF"/>
      <name val="Carlito"/>
      <charset val="134"/>
    </font>
    <font>
      <b/>
      <sz val="11"/>
      <color rgb="FF7F6000"/>
      <name val="Carlito"/>
      <charset val="134"/>
    </font>
    <font>
      <sz val="11"/>
      <color rgb="FF000000"/>
      <name val="Carlito"/>
      <charset val="134"/>
    </font>
    <font>
      <b/>
      <sz val="12"/>
      <color rgb="FFFFFFFF"/>
      <name val="Carlito"/>
      <charset val="134"/>
    </font>
    <font>
      <sz val="11"/>
      <color rgb="FF7F6000"/>
      <name val="Carlito"/>
      <charset val="134"/>
    </font>
    <font>
      <b/>
      <sz val="17"/>
      <color rgb="FFFFFFFF"/>
      <name val="Carlito"/>
      <charset val="134"/>
    </font>
    <font>
      <sz val="10"/>
      <color rgb="FF000000"/>
      <name val="Carlito"/>
      <charset val="134"/>
    </font>
    <font>
      <sz val="11"/>
      <color rgb="FF17365D"/>
      <name val="Carlito"/>
      <charset val="134"/>
    </font>
    <font>
      <b/>
      <sz val="11"/>
      <color rgb="FF274E13"/>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0E5363"/>
        <bgColor indexed="64"/>
      </patternFill>
    </fill>
    <fill>
      <patternFill patternType="solid">
        <fgColor rgb="FF0C6A67"/>
        <bgColor indexed="64"/>
      </patternFill>
    </fill>
    <fill>
      <patternFill patternType="solid">
        <fgColor rgb="FFD9EEF4"/>
        <bgColor indexed="64"/>
      </patternFill>
    </fill>
    <fill>
      <patternFill patternType="solid">
        <fgColor rgb="FFFFF2CC"/>
        <bgColor indexed="64"/>
      </patternFill>
    </fill>
    <fill>
      <patternFill patternType="solid">
        <fgColor rgb="FFD9EAD3"/>
        <bgColor indexed="64"/>
      </patternFill>
    </fill>
    <fill>
      <patternFill patternType="solid">
        <fgColor rgb="FFFFFFFF"/>
        <bgColor indexed="64"/>
      </patternFill>
    </fill>
    <fill>
      <patternFill patternType="solid">
        <fgColor rgb="FF0A706C"/>
        <bgColor indexed="64"/>
      </patternFill>
    </fill>
    <fill>
      <patternFill patternType="solid">
        <fgColor rgb="FFEEF8FA"/>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1"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12" borderId="4" applyNumberFormat="0" applyAlignment="0" applyProtection="0">
      <alignment vertical="center"/>
    </xf>
    <xf numFmtId="0" fontId="23" fillId="13" borderId="5" applyNumberFormat="0" applyAlignment="0" applyProtection="0">
      <alignment vertical="center"/>
    </xf>
    <xf numFmtId="0" fontId="24" fillId="13" borderId="4" applyNumberFormat="0" applyAlignment="0" applyProtection="0">
      <alignment vertical="center"/>
    </xf>
    <xf numFmtId="0" fontId="25" fillId="14"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xf numFmtId="0" fontId="0" fillId="0" borderId="0"/>
  </cellStyleXfs>
  <cellXfs count="54">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wrapText="1"/>
    </xf>
    <xf numFmtId="0" fontId="0" fillId="0" borderId="0" xfId="49" applyNumberFormat="1" applyFont="1" applyFill="1" applyBorder="1" applyAlignment="1">
      <alignment vertical="top" wrapText="1"/>
    </xf>
    <xf numFmtId="0" fontId="0" fillId="0" borderId="0" xfId="49" applyNumberFormat="1" applyFont="1" applyFill="1" applyAlignment="1">
      <alignment vertical="top" wrapText="1"/>
    </xf>
    <xf numFmtId="0" fontId="3" fillId="4" borderId="0" xfId="49" applyNumberFormat="1" applyFont="1" applyFill="1" applyBorder="1" applyAlignment="1">
      <alignment vertical="top" wrapText="1"/>
    </xf>
    <xf numFmtId="0" fontId="2" fillId="3" borderId="0" xfId="49" applyNumberFormat="1" applyFont="1" applyFill="1" applyBorder="1" applyAlignment="1">
      <alignment horizontal="center" vertical="center"/>
    </xf>
    <xf numFmtId="0" fontId="0" fillId="5" borderId="0" xfId="49" applyNumberFormat="1" applyFont="1" applyFill="1" applyBorder="1" applyAlignment="1">
      <alignment wrapText="1"/>
    </xf>
    <xf numFmtId="0" fontId="0" fillId="5" borderId="0" xfId="49" applyNumberFormat="1" applyFont="1" applyFill="1" applyAlignment="1">
      <alignment wrapText="1"/>
    </xf>
    <xf numFmtId="0" fontId="4" fillId="2" borderId="0" xfId="49" applyNumberFormat="1" applyFont="1" applyFill="1" applyBorder="1" applyAlignment="1">
      <alignment horizontal="center" vertical="center"/>
    </xf>
    <xf numFmtId="0" fontId="0" fillId="4" borderId="0" xfId="49" applyNumberFormat="1" applyFont="1" applyFill="1" applyBorder="1" applyAlignment="1">
      <alignment vertical="top" wrapText="1"/>
    </xf>
    <xf numFmtId="0" fontId="0" fillId="4" borderId="0" xfId="49" applyNumberFormat="1" applyFont="1" applyFill="1" applyAlignment="1">
      <alignment vertical="top" wrapText="1"/>
    </xf>
    <xf numFmtId="0" fontId="0" fillId="6" borderId="0" xfId="49" applyNumberFormat="1" applyFont="1" applyFill="1" applyBorder="1" applyAlignment="1">
      <alignment vertical="top" wrapText="1"/>
    </xf>
    <xf numFmtId="0" fontId="0" fillId="0" borderId="0" xfId="49" applyNumberFormat="1" applyFont="1" applyFill="1" applyBorder="1" applyAlignment="1">
      <alignment wrapText="1"/>
    </xf>
    <xf numFmtId="0" fontId="0" fillId="0" borderId="0" xfId="49" applyNumberFormat="1" applyFont="1" applyFill="1" applyBorder="1"/>
    <xf numFmtId="0" fontId="5" fillId="5" borderId="0" xfId="49" applyNumberFormat="1" applyFont="1" applyFill="1" applyBorder="1" applyAlignment="1">
      <alignment vertical="center" wrapText="1"/>
    </xf>
    <xf numFmtId="0" fontId="5" fillId="5" borderId="0" xfId="49" applyNumberFormat="1" applyFont="1" applyFill="1" applyBorder="1" applyAlignment="1">
      <alignment vertical="top" wrapText="1"/>
    </xf>
    <xf numFmtId="176" fontId="0" fillId="4" borderId="0" xfId="49" applyNumberFormat="1" applyFont="1" applyFill="1" applyAlignment="1">
      <alignment vertical="top" wrapText="1"/>
    </xf>
    <xf numFmtId="176" fontId="0" fillId="0" borderId="0" xfId="49" applyNumberFormat="1" applyFont="1" applyFill="1" applyAlignment="1">
      <alignment vertical="top" wrapText="1"/>
    </xf>
    <xf numFmtId="176" fontId="0" fillId="0" borderId="0" xfId="49" applyNumberFormat="1" applyFont="1" applyFill="1" applyBorder="1" applyAlignment="1">
      <alignment vertical="top" wrapText="1"/>
    </xf>
    <xf numFmtId="176" fontId="0" fillId="0" borderId="0" xfId="49" applyNumberFormat="1" applyFont="1" applyFill="1" applyBorder="1" applyAlignment="1">
      <alignment wrapText="1"/>
    </xf>
    <xf numFmtId="0" fontId="0" fillId="4" borderId="0" xfId="49" applyNumberFormat="1" applyFont="1" applyFill="1" applyBorder="1" applyAlignment="1">
      <alignment wrapText="1"/>
    </xf>
    <xf numFmtId="0" fontId="0" fillId="4" borderId="0" xfId="49" applyNumberFormat="1" applyFont="1" applyFill="1" applyAlignment="1">
      <alignment wrapText="1"/>
    </xf>
    <xf numFmtId="0" fontId="0" fillId="0" borderId="0" xfId="49" applyNumberFormat="1" applyFont="1" applyFill="1" applyAlignment="1">
      <alignment wrapText="1"/>
    </xf>
    <xf numFmtId="0" fontId="0" fillId="4" borderId="0" xfId="49" applyNumberFormat="1" applyFont="1" applyFill="1" applyBorder="1"/>
    <xf numFmtId="176" fontId="0" fillId="4" borderId="0" xfId="49" applyNumberFormat="1" applyFont="1" applyFill="1" applyAlignment="1">
      <alignment horizontal="center" vertical="top" wrapText="1"/>
    </xf>
    <xf numFmtId="176" fontId="0" fillId="0" borderId="0" xfId="49" applyNumberFormat="1" applyFont="1" applyFill="1" applyAlignment="1">
      <alignment horizontal="center" vertical="top" wrapText="1"/>
    </xf>
    <xf numFmtId="176" fontId="0" fillId="0" borderId="0" xfId="49" applyNumberFormat="1" applyFont="1" applyFill="1" applyBorder="1" applyAlignment="1">
      <alignment horizontal="center" vertical="top" wrapText="1"/>
    </xf>
    <xf numFmtId="176" fontId="0" fillId="0" borderId="0" xfId="49" applyNumberFormat="1" applyFont="1" applyFill="1" applyBorder="1" applyAlignment="1">
      <alignment horizontal="center"/>
    </xf>
    <xf numFmtId="176" fontId="0" fillId="0" borderId="0" xfId="49" applyNumberFormat="1" applyFont="1" applyFill="1" applyBorder="1" applyAlignment="1">
      <alignment horizontal="center" wrapText="1"/>
    </xf>
    <xf numFmtId="177" fontId="0" fillId="0" borderId="0" xfId="49" applyNumberFormat="1" applyFont="1" applyFill="1" applyBorder="1" applyAlignment="1">
      <alignment horizontal="center"/>
    </xf>
    <xf numFmtId="0" fontId="0" fillId="7" borderId="0" xfId="49" applyNumberFormat="1" applyFont="1" applyFill="1" applyBorder="1"/>
    <xf numFmtId="0" fontId="0" fillId="7" borderId="0" xfId="49" applyNumberFormat="1" applyFont="1" applyFill="1" applyBorder="1" applyAlignment="1">
      <alignment wrapText="1"/>
    </xf>
    <xf numFmtId="0" fontId="3" fillId="4" borderId="0" xfId="49" applyNumberFormat="1" applyFont="1" applyFill="1" applyBorder="1"/>
    <xf numFmtId="1" fontId="0" fillId="7" borderId="0" xfId="49" applyNumberFormat="1" applyFont="1" applyFill="1" applyBorder="1"/>
    <xf numFmtId="0" fontId="6" fillId="7" borderId="0" xfId="49" applyNumberFormat="1" applyFont="1" applyFill="1" applyBorder="1" applyAlignment="1">
      <alignment horizontal="left" vertical="center" wrapText="1"/>
    </xf>
    <xf numFmtId="0" fontId="6" fillId="7" borderId="0" xfId="49" applyNumberFormat="1" applyFont="1" applyFill="1" applyBorder="1" applyAlignment="1">
      <alignment horizontal="center" vertical="center" wrapText="1"/>
    </xf>
    <xf numFmtId="0" fontId="7" fillId="3" borderId="0" xfId="49" applyNumberFormat="1" applyFont="1" applyFill="1" applyBorder="1" applyAlignment="1">
      <alignment horizontal="left" vertical="center"/>
    </xf>
    <xf numFmtId="0" fontId="8" fillId="5" borderId="0" xfId="49" applyNumberFormat="1" applyFont="1" applyFill="1" applyBorder="1" applyAlignment="1">
      <alignment vertical="top" wrapText="1"/>
    </xf>
    <xf numFmtId="0" fontId="7" fillId="8" borderId="0" xfId="49" applyNumberFormat="1" applyFont="1" applyFill="1" applyBorder="1" applyAlignment="1">
      <alignment vertical="center"/>
    </xf>
    <xf numFmtId="177" fontId="0" fillId="4" borderId="0" xfId="49" applyNumberFormat="1" applyFont="1" applyFill="1" applyAlignment="1">
      <alignment horizontal="center" vertical="top" wrapText="1"/>
    </xf>
    <xf numFmtId="177" fontId="0" fillId="0" borderId="0" xfId="49" applyNumberFormat="1" applyFont="1" applyFill="1" applyAlignment="1">
      <alignment horizontal="center" vertical="top" wrapText="1"/>
    </xf>
    <xf numFmtId="177" fontId="0" fillId="0" borderId="0" xfId="49" applyNumberFormat="1" applyFont="1" applyFill="1" applyBorder="1" applyAlignment="1">
      <alignment horizontal="center" vertical="top" wrapText="1"/>
    </xf>
    <xf numFmtId="0" fontId="4" fillId="2" borderId="0" xfId="49" applyNumberFormat="1" applyFont="1" applyFill="1" applyBorder="1" applyAlignment="1">
      <alignment horizontal="center" vertical="center" wrapText="1"/>
    </xf>
    <xf numFmtId="0" fontId="9" fillId="2" borderId="0" xfId="49" applyNumberFormat="1" applyFont="1" applyFill="1" applyBorder="1" applyAlignment="1">
      <alignment vertical="center"/>
    </xf>
    <xf numFmtId="0" fontId="3" fillId="4" borderId="0" xfId="49" applyNumberFormat="1" applyFont="1" applyFill="1" applyBorder="1" applyAlignment="1">
      <alignment vertical="center" wrapText="1"/>
    </xf>
    <xf numFmtId="0" fontId="0" fillId="0" borderId="0" xfId="49" applyNumberFormat="1" applyFont="1" applyFill="1" applyBorder="1" applyAlignment="1">
      <alignment vertical="center" wrapText="1"/>
    </xf>
    <xf numFmtId="1" fontId="0" fillId="0" borderId="0" xfId="49" applyNumberFormat="1" applyFont="1" applyFill="1" applyBorder="1" applyAlignment="1">
      <alignment vertical="center" wrapText="1"/>
    </xf>
    <xf numFmtId="0" fontId="7" fillId="3" borderId="0" xfId="49" applyNumberFormat="1" applyFont="1" applyFill="1" applyBorder="1" applyAlignment="1">
      <alignment horizontal="center" vertical="center" wrapText="1"/>
    </xf>
    <xf numFmtId="0" fontId="10" fillId="7" borderId="0" xfId="49" applyNumberFormat="1" applyFont="1" applyFill="1" applyBorder="1" applyAlignment="1">
      <alignment vertical="top" wrapText="1"/>
    </xf>
    <xf numFmtId="0" fontId="11" fillId="9" borderId="0" xfId="49" applyNumberFormat="1" applyFont="1" applyFill="1" applyBorder="1" applyAlignment="1">
      <alignment vertical="top" wrapText="1"/>
    </xf>
    <xf numFmtId="0" fontId="12" fillId="10" borderId="0" xfId="49" applyNumberFormat="1" applyFont="1" applyFill="1" applyBorder="1" applyAlignment="1">
      <alignment vertical="center" wrapText="1"/>
    </xf>
    <xf numFmtId="0" fontId="3" fillId="7" borderId="0" xfId="49" applyNumberFormat="1" applyFont="1" applyFill="1" applyBorder="1" applyAlignment="1">
      <alignment vertical="center" wrapText="1"/>
    </xf>
    <xf numFmtId="0" fontId="6" fillId="7"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7">
    <dxf>
      <font>
        <b val="1"/>
        <color rgb="FF9C6500"/>
      </font>
      <fill>
        <patternFill patternType="solid">
          <bgColor rgb="FFFFF2CC"/>
        </patternFill>
      </fill>
    </dxf>
    <dxf>
      <font>
        <b val="1"/>
        <color rgb="FF274E13"/>
      </font>
      <fill>
        <patternFill patternType="solid">
          <bgColor rgb="FFD9EAD3"/>
        </patternFill>
      </fill>
    </dxf>
    <dxf>
      <fill>
        <patternFill patternType="solid">
          <bgColor rgb="FFEEF8FA"/>
        </patternFill>
      </fill>
    </dxf>
    <dxf>
      <fill>
        <patternFill patternType="solid">
          <bgColor rgb="FFF4CCCC"/>
        </patternFill>
      </fill>
    </dxf>
    <dxf>
      <font>
        <color rgb="FF1C4587"/>
      </font>
      <fill>
        <patternFill patternType="solid">
          <bgColor rgb="FFEEF8FA"/>
        </patternFill>
      </fill>
    </dxf>
    <dxf>
      <font>
        <color rgb="FF7F6000"/>
      </font>
      <fill>
        <patternFill patternType="solid">
          <bgColor rgb="FFFFF2CC"/>
        </patternFill>
      </fill>
    </dxf>
    <dxf>
      <font>
        <b val="1"/>
        <color rgb="FF990000"/>
      </font>
      <fill>
        <patternFill patternType="solid">
          <bgColor rgb="FFF4CCCC"/>
        </patternFill>
      </fill>
    </dxf>
    <dxf>
      <font>
        <b val="1"/>
        <color rgb="FF9C0006"/>
      </font>
      <fill>
        <patternFill patternType="solid">
          <bgColor rgb="FFFCE4D6"/>
        </patternFill>
      </fill>
    </dxf>
    <dxf>
      <font>
        <b val="1"/>
        <color rgb="FF073763"/>
      </font>
      <fill>
        <patternFill patternType="solid">
          <bgColor rgb="FFD9EAF7"/>
        </patternFill>
      </fill>
    </dxf>
    <dxf>
      <font>
        <b val="1"/>
        <color rgb="FF7F60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快手文字评论分类</a:t>
            </a:r>
          </a:p>
        </c:rich>
      </c:tx>
      <c:layout/>
      <c:overlay val="0"/>
    </c:title>
    <c:autoTitleDeleted val="0"/>
    <c:plotArea>
      <c:layout/>
      <c:barChart>
        <c:barDir val="col"/>
        <c:grouping val="none"/>
        <c:varyColors val="0"/>
        <c:ser>
          <c:idx val="0"/>
          <c:order val="0"/>
          <c:tx>
            <c:strRef>
              <c:f>"数量"</c:f>
              <c:strCache>
                <c:ptCount val="1"/>
                <c:pt idx="0">
                  <c:v>数量</c:v>
                </c:pt>
              </c:strCache>
            </c:strRef>
          </c:tx>
          <c:invertIfNegative val="0"/>
          <c:dLbls>
            <c:delete val="1"/>
          </c:dLbls>
          <c:cat>
            <c:numRef>
              <c:f>[1]快手文字评论专题!$D$4:$D$10</c:f>
              <c:numCache>
                <c:ptCount val="0"/>
              </c:numCache>
            </c:numRef>
          </c:cat>
          <c:val>
            <c:numRef>
              <c:f>[1]快手文字评论专题!$E$4:$E$10</c:f>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e7b89fc4-9e9e-4c34-a12a-3b8cbd59726e}"/>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14</xdr:row>
      <xdr:rowOff>0</xdr:rowOff>
    </xdr:from>
    <xdr:to>
      <xdr:col>8</xdr:col>
      <xdr:colOff>0</xdr:colOff>
      <xdr:row>29</xdr:row>
      <xdr:rowOff>0</xdr:rowOff>
    </xdr:to>
    <xdr:graphicFrame>
      <xdr:nvGraphicFramePr>
        <xdr:cNvPr id="2" name="Chart"/>
        <xdr:cNvGraphicFramePr/>
      </xdr:nvGraphicFramePr>
      <xdr:xfrm>
        <a:off x="6400800" y="3014345"/>
        <a:ext cx="7543800" cy="209213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555;&#25163;&#25991;&#23383;&#35780;&#35770;&#19987;&#39064;"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快手文字评论专题"/>
    </sheetNames>
    <sheetDataSet>
      <sheetData sheetId="0" refreshError="1"/>
    </sheetDataSet>
  </externalBook>
</externalLink>
</file>

<file path=xl/tables/table1.xml><?xml version="1.0" encoding="utf-8"?>
<table xmlns="http://schemas.openxmlformats.org/spreadsheetml/2006/main" id="21" name="ZhengSiyuDetail" displayName="ZhengSiyuDetail" ref="A1:Z48">
  <tableColumns count="26">
    <tableColumn id="1" name="序号"/>
    <tableColumn id="2" name="发布日期"/>
    <tableColumn id="3" name="采集日期"/>
    <tableColumn id="4" name="采集来源"/>
    <tableColumn id="5" name="平台或网站"/>
    <tableColumn id="6" name="检索关键词"/>
    <tableColumn id="7" name="账号或发布单位"/>
    <tableColumn id="8" name="来源类型"/>
    <tableColumn id="9" name="涉及地区"/>
    <tableColumn id="10" name="省份"/>
    <tableColumn id="11" name="行政层级"/>
    <tableColumn id="12" name="原始语言"/>
    <tableColumn id="13" name="中文翻译"/>
    <tableColumn id="14" name="标题或话题"/>
    <tableColumn id="15" name="原文证据摘录"/>
    <tableColumn id="16" name="内容摘要"/>
    <tableColumn id="17" name="原始链接"/>
    <tableColumn id="18" name="关联度"/>
    <tableColumn id="19" name="意见类型"/>
    <tableColumn id="20" name="具体议题"/>
    <tableColumn id="21" name="是否重复"/>
    <tableColumn id="22" name="是否需要复核"/>
    <tableColumn id="23" name="人工复核说明"/>
    <tableColumn id="24" name="其他转载平台"/>
    <tableColumn id="25" name="是否计入公众统计"/>
    <tableColumn id="26" name="备注"/>
  </tableColumns>
  <tableStyleInfo name="TableStyleMedium2" showFirstColumn="0" showLastColumn="0" showRowStripes="1" showColumnStripes="0"/>
</table>
</file>

<file path=xl/tables/table2.xml><?xml version="1.0" encoding="utf-8"?>
<table xmlns="http://schemas.openxmlformats.org/spreadsheetml/2006/main" id="2" name="ZhengSiyuOfficial" displayName="ZhengSiyuOfficial" ref="A1:L18">
  <tableColumns count="12">
    <tableColumn id="1" name="序号"/>
    <tableColumn id="2" name="地区"/>
    <tableColumn id="3" name="省份"/>
    <tableColumn id="4" name="行政层级"/>
    <tableColumn id="5" name="发布部门或来源"/>
    <tableColumn id="6" name="文件或活动名称"/>
    <tableColumn id="7" name="发布日期"/>
    <tableColumn id="8" name="主要实施内容"/>
    <tableColumn id="9" name="原始链接"/>
    <tableColumn id="10" name="是否包含意见征集/群众留言/公开答复"/>
    <tableColumn id="11" name="是否需要复核"/>
    <tableColumn id="12" name="核验说明"/>
  </tableColumns>
  <tableStyleInfo name="TableStyleMedium2" showFirstColumn="0" showLastColumn="0" showRowStripes="1" showColumnStripes="0"/>
</table>
</file>

<file path=xl/tables/table3.xml><?xml version="1.0" encoding="utf-8"?>
<table xmlns="http://schemas.openxmlformats.org/spreadsheetml/2006/main" id="28" name="ZhengSiyuExclusion" displayName="ZhengSiyuExclusion" ref="A1:F31">
  <tableColumns count="6">
    <tableColumn id="1" name="序号"/>
    <tableColumn id="2" name="发布日期/状态"/>
    <tableColumn id="3" name="平台或网站"/>
    <tableColumn id="4" name="标题或线索"/>
    <tableColumn id="5" name="排除原因"/>
    <tableColumn id="6" name="说明"/>
  </tableColumns>
  <tableStyleInfo name="TableStyleMedium2" showFirstColumn="0" showLastColumn="0" showRowStripes="1" showColumnStripes="0"/>
</table>
</file>

<file path=xl/tables/table4.xml><?xml version="1.0" encoding="utf-8"?>
<table xmlns="http://schemas.openxmlformats.org/spreadsheetml/2006/main" id="4" name="ZhengSiyuManual" displayName="ZhengSiyuManual" ref="A1:G24">
  <tableColumns count="7">
    <tableColumn id="1" name="序号"/>
    <tableColumn id="2" name="平台或账号"/>
    <tableColumn id="3" name="涉及地区"/>
    <tableColumn id="4" name="状态类别"/>
    <tableColumn id="5" name="无法自动获取的原因"/>
    <tableColumn id="6" name="建议人工搜索关键词"/>
    <tableColumn id="7" name="重点查看位置"/>
  </tableColumns>
  <tableStyleInfo name="TableStyleMedium2" showFirstColumn="0" showLastColumn="0" showRowStripes="1" showColumnStripes="0"/>
</table>
</file>

<file path=xl/tables/table5.xml><?xml version="1.0" encoding="utf-8"?>
<table xmlns="http://schemas.openxmlformats.org/spreadsheetml/2006/main" id="5" name="ZhengSiyuSearchLog" displayName="ZhengSiyuSearchLog" ref="A1:L17">
  <tableColumns count="12">
    <tableColumn id="1" name="序号"/>
    <tableColumn id="2" name="地区"/>
    <tableColumn id="3" name="省份"/>
    <tableColumn id="4" name="行政层级"/>
    <tableColumn id="5" name="政府网站/入口"/>
    <tableColumn id="6" name="指定地方账号"/>
    <tableColumn id="7" name="轮查频率"/>
    <tableColumn id="8" name="涉及语言"/>
    <tableColumn id="9" name="代表性检索关键词"/>
    <tableColumn id="10" name="结果状态"/>
    <tableColumn id="11" name="有效发现"/>
    <tableColumn id="12" name="备注/下一步"/>
  </tableColumns>
  <tableStyleInfo name="TableStyleMedium2" showFirstColumn="0" showLastColumn="0" showRowStripes="1" showColumnStripes="0"/>
</table>
</file>

<file path=xl/tables/table6.xml><?xml version="1.0" encoding="utf-8"?>
<table xmlns="http://schemas.openxmlformats.org/spreadsheetml/2006/main" id="22" name="ZhengSiyuFlat" displayName="ZhengSiyuFlat" ref="A1:Z48">
  <tableColumns count="26">
    <tableColumn id="1" name="序号"/>
    <tableColumn id="2" name="发布日期"/>
    <tableColumn id="3" name="采集日期"/>
    <tableColumn id="4" name="采集来源"/>
    <tableColumn id="5" name="平台或网站"/>
    <tableColumn id="6" name="检索关键词"/>
    <tableColumn id="7" name="账号或发布单位"/>
    <tableColumn id="8" name="来源类型"/>
    <tableColumn id="9" name="涉及地区"/>
    <tableColumn id="10" name="省份"/>
    <tableColumn id="11" name="行政层级"/>
    <tableColumn id="12" name="原始语言"/>
    <tableColumn id="13" name="中文翻译"/>
    <tableColumn id="14" name="标题或话题"/>
    <tableColumn id="15" name="原文证据摘录"/>
    <tableColumn id="16" name="内容摘要"/>
    <tableColumn id="17" name="原始链接"/>
    <tableColumn id="18" name="关联度"/>
    <tableColumn id="19" name="意见类型"/>
    <tableColumn id="20" name="具体议题"/>
    <tableColumn id="21" name="是否重复"/>
    <tableColumn id="22" name="是否需要复核"/>
    <tableColumn id="23" name="人工复核说明"/>
    <tableColumn id="24" name="其他转载平台"/>
    <tableColumn id="25" name="是否计入公众统计"/>
    <tableColumn id="26" name="备注"/>
  </tableColumns>
  <tableStyleInfo name="TableStyleMedium2" showFirstColumn="0" showLastColumn="0" showRowStripes="1" showColumnStripes="0"/>
</table>
</file>

<file path=xl/tables/table7.xml><?xml version="1.0" encoding="utf-8"?>
<table xmlns="http://schemas.openxmlformats.org/spreadsheetml/2006/main" id="7" name="ZhengSiyuKeywords" displayName="ZhengSiyuKeywords" ref="A1:G20">
  <tableColumns count="7">
    <tableColumn id="1" name="序号"/>
    <tableColumn id="2" name="关键词类别"/>
    <tableColumn id="3" name="适用地区"/>
    <tableColumn id="4" name="适用入口"/>
    <tableColumn id="5" name="关键词或组合词"/>
    <tableColumn id="6" name="使用说明"/>
    <tableColumn id="7" name="是否需要语言人员复核"/>
  </tableColumns>
  <tableStyleInfo name="TableStyleMedium2" showFirstColumn="0" showLastColumn="0" showRowStripes="1" showColumnStripes="0"/>
</table>
</file>

<file path=xl/tables/table8.xml><?xml version="1.0" encoding="utf-8"?>
<table xmlns="http://schemas.openxmlformats.org/spreadsheetml/2006/main" id="25" name="ZhengSiyuBasis" displayName="ZhengSiyuBasis" ref="A1:E23">
  <tableColumns count="5">
    <tableColumn id="1" name="类型"/>
    <tableColumn id="2" name="名称或规则"/>
    <tableColumn id="3" name="日期/状态"/>
    <tableColumn id="4" name="核验要点"/>
    <tableColumn id="5" name="链接或说明"/>
  </tableColumns>
  <tableStyleInfo name="TableStyleMedium2" showFirstColumn="0" showLastColumn="0" showRowStripes="1" showColumnStripes="0"/>
</table>
</file>

<file path=xl/tables/table9.xml><?xml version="1.0" encoding="utf-8"?>
<table xmlns="http://schemas.openxmlformats.org/spreadsheetml/2006/main" id="19" name="CommentMotherTable" displayName="CommentMotherTable" ref="A1:T26">
  <tableColumns count="20">
    <tableColumn id="1" name="母帖编号"/>
    <tableColumn id="2" name="平台"/>
    <tableColumn id="3" name="账号或发布单位"/>
    <tableColumn id="4" name="母帖标题"/>
    <tableColumn id="5" name="发布日期"/>
    <tableColumn id="6" name="发布时间说明"/>
    <tableColumn id="7" name="涉及地区"/>
    <tableColumn id="8" name="省份"/>
    <tableColumn id="9" name="原始语言"/>
    <tableColumn id="10" name="检索关键词"/>
    <tableColumn id="11" name="母帖点赞量"/>
    <tableColumn id="12" name="转发量"/>
    <tableColumn id="13" name="收藏量"/>
    <tableColumn id="14" name="评论总数"/>
    <tableColumn id="15" name="有效支持数"/>
    <tableColumn id="16" name="排除数"/>
    <tableColumn id="17" name="母帖原始链接"/>
    <tableColumn id="18" name="是否需要复核"/>
    <tableColumn id="19" name="复核说明"/>
    <tableColumn id="20" name="证据来源"/>
  </tableColumns>
  <tableStyleInfo name="TableStyleMedium2" showFirstColumn="0" showLastColumn="0" showRowStripes="1" showColumnStripes="0"/>
</table>
</file>

<file path=xl/tables/table10.xml><?xml version="1.0" encoding="utf-8"?>
<table xmlns="http://schemas.openxmlformats.org/spreadsheetml/2006/main" id="20" name="PublicCommentDetailTable" displayName="PublicCommentDetailTable" ref="A1:V152">
  <tableColumns count="22">
    <tableColumn id="1" name="序号"/>
    <tableColumn id="2" name="母帖编号"/>
    <tableColumn id="3" name="平台"/>
    <tableColumn id="4" name="母帖账号"/>
    <tableColumn id="5" name="母帖标题"/>
    <tableColumn id="6" name="母帖发布日期"/>
    <tableColumn id="7" name="评论日期"/>
    <tableColumn id="8" name="评论者公开昵称"/>
    <tableColumn id="9" name="评论者公开地区"/>
    <tableColumn id="10" name="评论原文"/>
    <tableColumn id="11" name="评论形式"/>
    <tableColumn id="12" name="意见类型"/>
    <tableColumn id="13" name="信息量"/>
    <tableColumn id="14" name="具体议题"/>
    <tableColumn id="15" name="涉及地区"/>
    <tableColumn id="16" name="原始语言"/>
    <tableColumn id="17" name="评论点赞量"/>
    <tableColumn id="18" name="母帖原始链接"/>
    <tableColumn id="19" name="是否计入公众统计"/>
    <tableColumn id="20" name="是否需要复核"/>
    <tableColumn id="21" name="复核说明"/>
    <tableColumn id="22" name="证据来源"/>
  </tableColumns>
  <tableStyleInfo name="TableStyleMedium2" showFirstColumn="0" showLastColumn="0" showRowStripes="1" showColumnStripes="0"/>
</table>
</file>

<file path=xl/tables/table11.xml><?xml version="1.0" encoding="utf-8"?>
<table xmlns="http://schemas.openxmlformats.org/spreadsheetml/2006/main" id="15" name="PlatformCoverageTable" displayName="PlatformCoverageTable" ref="A3:F10">
  <tableColumns count="6">
    <tableColumn id="1" name="平台/渠道"/>
    <tableColumn id="2" name="是否纳入有效舆情"/>
    <tableColumn id="3" name="有效母帖/条目数"/>
    <tableColumn id="4" name="有效公众意见数"/>
    <tableColumn id="5" name="当前状态"/>
    <tableColumn id="6" name="说明"/>
  </tableColumns>
  <tableStyleInfo name="TableStyleMedium2" showFirstColumn="0" showLastColumn="0" showRowStripes="1" showColumnStripes="0"/>
</table>
</file>

<file path=xl/tables/table12.xml><?xml version="1.0" encoding="utf-8"?>
<table xmlns="http://schemas.openxmlformats.org/spreadsheetml/2006/main" id="27" name="ScreenshotAuditTable" displayName="ScreenshotAuditTable" ref="A3:J45">
  <tableColumns count="10">
    <tableColumn id="1" name="截图编号"/>
    <tableColumn id="2" name="平台"/>
    <tableColumn id="3" name="账号/母帖线索"/>
    <tableColumn id="4" name="涉及地区"/>
    <tableColumn id="5" name="与本法直接关联"/>
    <tableColumn id="6" name="是否在负责范围"/>
    <tableColumn id="7" name="页面评论总数"/>
    <tableColumn id="8" name="可计入意见数"/>
    <tableColumn id="9" name="处理结果"/>
    <tableColumn id="10" name="审查说明"/>
  </tableColumns>
  <tableStyleInfo name="TableStyleMedium2" showFirstColumn="0" showLastColumn="0" showRowStripes="1" showColumnStripes="0"/>
</table>
</file>

<file path=xl/tables/table13.xml><?xml version="1.0" encoding="utf-8"?>
<table xmlns="http://schemas.openxmlformats.org/spreadsheetml/2006/main" id="17" name="AggregateCommentTable" displayName="AggregateCommentTable" ref="A3:J4">
  <tableColumns count="10">
    <tableColumn id="1" name="母帖编号"/>
    <tableColumn id="2" name="平台"/>
    <tableColumn id="3" name="账号"/>
    <tableColumn id="4" name="意见类型"/>
    <tableColumn id="5" name="内容说明"/>
    <tableColumn id="6" name="聚合数量"/>
    <tableColumn id="7" name="是否计入公众统计"/>
    <tableColumn id="8" name="信息量"/>
    <tableColumn id="9" name="原始链接"/>
    <tableColumn id="10" name="统计依据/备注"/>
  </tableColumns>
  <tableStyleInfo name="TableStyleMedium2" showFirstColumn="0" showLastColumn="0" showRowStripes="1" showColumnStripes="0"/>
</table>
</file>

<file path=xl/tables/table14.xml><?xml version="1.0" encoding="utf-8"?>
<table xmlns="http://schemas.openxmlformats.org/spreadsheetml/2006/main" id="18" name="SourceLinkSupplementTable" displayName="SourceLinkSupplementTable" ref="A3:H34">
  <tableColumns count="8">
    <tableColumn id="1" name="序号"/>
    <tableColumn id="2" name="平台"/>
    <tableColumn id="3" name="对应母帖/线索"/>
    <tableColumn id="4" name="账号或标题简写"/>
    <tableColumn id="5" name="原始链接"/>
    <tableColumn id="6" name="纳入状态"/>
    <tableColumn id="7" name="回填位置"/>
    <tableColumn id="8" name="备注"/>
  </tableColumns>
  <tableStyleInfo name="TableStyleMedium2" showFirstColumn="0" showLastColumn="0" showRowStripes="1" showColumnStripes="0"/>
</table>
</file>

<file path=xl/tables/table15.xml><?xml version="1.0" encoding="utf-8"?>
<table xmlns="http://schemas.openxmlformats.org/spreadsheetml/2006/main" id="29" name="MonitoringStatsTable" displayName="MonitoringStatsTable" ref="A3:C12">
  <tableColumns count="3">
    <tableColumn id="1" name="统计指标"/>
    <tableColumn id="2" name="数量"/>
    <tableColumn id="3" name="统计口径与说明"/>
  </tableColumns>
  <tableStyleInfo name="TableStyleMedium2" showFirstColumn="0" showLastColumn="0" showRowStripes="1" showColumnStripes="0"/>
</table>
</file>

<file path=xl/tables/table16.xml><?xml version="1.0" encoding="utf-8"?>
<table xmlns="http://schemas.openxmlformats.org/spreadsheetml/2006/main" id="30" name="NonSupportReviewTable" displayName="NonSupportReviewTable" ref="A3:L75">
  <tableColumns count="12">
    <tableColumn id="1" name="序号"/>
    <tableColumn id="2" name="母帖编号"/>
    <tableColumn id="3" name="平台"/>
    <tableColumn id="4" name="账号"/>
    <tableColumn id="5" name="评论原话"/>
    <tableColumn id="6" name="原分类"/>
    <tableColumn id="7" name="复核后分类"/>
    <tableColumn id="8" name="原始链接"/>
    <tableColumn id="9" name="原页面核验方式"/>
    <tableColumn id="10" name="复核结果"/>
    <tableColumn id="11" name="是否计入"/>
    <tableColumn id="12" name="最终状态"/>
  </tableColumns>
  <tableStyleInfo name="TableStyleMedium2" showFirstColumn="0" showLastColumn="0" showRowStripes="1" showColumnStripes="0"/>
</table>
</file>

<file path=xl/tables/table17.xml><?xml version="1.0" encoding="utf-8"?>
<table xmlns="http://schemas.openxmlformats.org/spreadsheetml/2006/main" id="31" name="MinorityLanguageReviewTable" displayName="MinorityLanguageReviewTable" ref="A3:L7">
  <tableColumns count="12">
    <tableColumn id="1" name="记录编号"/>
    <tableColumn id="2" name="关联编号"/>
    <tableColumn id="3" name="平台/账号"/>
    <tableColumn id="4" name="内容类型"/>
    <tableColumn id="5" name="原始语言"/>
    <tableColumn id="6" name="原文或可见内容"/>
    <tableColumn id="7" name="中文翻译/字幕内容"/>
    <tableColumn id="8" name="翻译方式"/>
    <tableColumn id="9" name="与本法关联复核"/>
    <tableColumn id="10" name="态度复核"/>
    <tableColumn id="11" name="原始链接"/>
    <tableColumn id="12" name="最终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topLeftCell="A3" workbookViewId="0">
      <selection activeCell="A1" sqref="A1:B1"/>
    </sheetView>
  </sheetViews>
  <sheetFormatPr defaultColWidth="9" defaultRowHeight="13.5" outlineLevelCol="7"/>
  <cols>
    <col min="1" max="1" width="32" customWidth="1"/>
    <col min="2" max="2" width="82" customWidth="1"/>
  </cols>
  <sheetData>
    <row r="1" ht="52" customHeight="1" spans="1:8">
      <c r="A1" s="43" t="s">
        <v>0</v>
      </c>
      <c r="B1" s="43"/>
      <c r="C1" s="44"/>
      <c r="D1" s="44"/>
      <c r="E1" s="44"/>
      <c r="F1" s="44"/>
      <c r="G1" s="44"/>
      <c r="H1" s="44"/>
    </row>
    <row r="2" spans="1:8">
      <c r="A2" s="13"/>
      <c r="B2" s="13"/>
    </row>
    <row r="3" ht="24" customHeight="1" spans="1:8">
      <c r="A3" s="45" t="s">
        <v>1</v>
      </c>
      <c r="B3" s="46" t="s">
        <v>2</v>
      </c>
    </row>
    <row r="4" ht="42" customHeight="1" spans="1:8">
      <c r="A4" s="45" t="s">
        <v>3</v>
      </c>
      <c r="B4" s="46" t="s">
        <v>4</v>
      </c>
    </row>
    <row r="5" ht="50" customHeight="1" spans="1:8">
      <c r="A5" s="45" t="s">
        <v>5</v>
      </c>
      <c r="B5" s="46" t="s">
        <v>6</v>
      </c>
    </row>
    <row r="6" ht="24" customHeight="1" spans="1:8">
      <c r="A6" s="45" t="s">
        <v>7</v>
      </c>
      <c r="B6" s="46" t="s">
        <v>8</v>
      </c>
    </row>
    <row r="7" ht="24" customHeight="1" spans="1:8">
      <c r="A7" s="45" t="s">
        <v>9</v>
      </c>
      <c r="B7" s="46" t="s">
        <v>10</v>
      </c>
    </row>
    <row r="8" ht="36" customHeight="1" spans="1:8">
      <c r="A8" s="45" t="s">
        <v>11</v>
      </c>
      <c r="B8" s="46" t="s">
        <v>12</v>
      </c>
    </row>
    <row r="9" ht="24" customHeight="1" spans="1:8">
      <c r="A9" s="45" t="s">
        <v>13</v>
      </c>
      <c r="B9" s="47">
        <v>47</v>
      </c>
    </row>
    <row r="10" ht="24" customHeight="1" spans="1:8">
      <c r="A10" s="45" t="s">
        <v>14</v>
      </c>
      <c r="B10" s="47">
        <v>22</v>
      </c>
    </row>
    <row r="11" ht="24" customHeight="1" spans="1:8">
      <c r="A11" s="45" t="s">
        <v>15</v>
      </c>
      <c r="B11" s="47">
        <v>25</v>
      </c>
    </row>
    <row r="12" ht="24" customHeight="1" spans="1:8">
      <c r="A12" s="45" t="s">
        <v>16</v>
      </c>
      <c r="B12" s="47">
        <v>827</v>
      </c>
    </row>
    <row r="13" ht="32" customHeight="1" spans="1:8">
      <c r="A13" s="45" t="s">
        <v>17</v>
      </c>
      <c r="B13" s="47">
        <v>2</v>
      </c>
    </row>
    <row r="14" ht="24" customHeight="1" spans="1:8">
      <c r="A14" s="45" t="s">
        <v>18</v>
      </c>
      <c r="B14" s="47">
        <v>3</v>
      </c>
    </row>
    <row r="15" spans="1:8">
      <c r="A15" s="13"/>
      <c r="B15" s="13"/>
    </row>
    <row r="16" ht="28" customHeight="1" spans="1:8">
      <c r="A16" s="48" t="s">
        <v>19</v>
      </c>
      <c r="B16" s="48"/>
      <c r="C16" s="39"/>
      <c r="D16" s="39"/>
      <c r="E16" s="39"/>
      <c r="F16" s="39"/>
      <c r="G16" s="39"/>
      <c r="H16" s="39"/>
    </row>
    <row r="17" ht="150" customHeight="1" spans="1:8">
      <c r="A17" s="49" t="s">
        <v>20</v>
      </c>
      <c r="B17" s="49"/>
      <c r="C17" s="50"/>
      <c r="D17" s="50"/>
      <c r="E17" s="50"/>
      <c r="F17" s="50"/>
      <c r="G17" s="50"/>
      <c r="H17" s="50"/>
    </row>
    <row r="18" spans="1:8">
      <c r="A18" s="50"/>
      <c r="B18" s="50"/>
      <c r="C18" s="50"/>
      <c r="D18" s="50"/>
      <c r="E18" s="50"/>
      <c r="F18" s="50"/>
      <c r="G18" s="50"/>
      <c r="H18" s="50"/>
    </row>
    <row r="19" ht="72" customHeight="1" spans="1:8">
      <c r="A19" s="51" t="s">
        <v>21</v>
      </c>
      <c r="B19" s="51" t="s">
        <v>22</v>
      </c>
      <c r="C19" s="50"/>
      <c r="D19" s="50"/>
      <c r="E19" s="50"/>
      <c r="F19" s="50"/>
      <c r="G19" s="50"/>
      <c r="H19" s="50"/>
    </row>
    <row r="20" spans="1:8">
      <c r="A20" s="50"/>
      <c r="B20" s="50"/>
      <c r="C20" s="50"/>
      <c r="D20" s="50"/>
      <c r="E20" s="50"/>
      <c r="F20" s="50"/>
      <c r="G20" s="50"/>
      <c r="H20" s="50"/>
    </row>
    <row r="21" spans="1:8">
      <c r="A21" s="50"/>
      <c r="B21" s="50"/>
      <c r="C21" s="50"/>
      <c r="D21" s="50"/>
      <c r="E21" s="50"/>
      <c r="F21" s="50"/>
      <c r="G21" s="50"/>
      <c r="H21" s="50"/>
    </row>
    <row r="22" spans="1:8">
      <c r="A22" s="50"/>
      <c r="B22" s="50"/>
      <c r="C22" s="50"/>
      <c r="D22" s="50"/>
      <c r="E22" s="50"/>
      <c r="F22" s="50"/>
      <c r="G22" s="50"/>
      <c r="H22" s="50"/>
    </row>
    <row r="23" ht="58" customHeight="1" spans="1:8">
      <c r="A23" s="15" t="s">
        <v>23</v>
      </c>
      <c r="B23" s="15" t="s">
        <v>24</v>
      </c>
    </row>
    <row r="24" ht="28" customHeight="1" spans="1:8">
      <c r="A24" s="48" t="s">
        <v>25</v>
      </c>
      <c r="B24" s="48"/>
      <c r="C24" s="39"/>
      <c r="D24" s="39"/>
      <c r="E24" s="39"/>
      <c r="F24" s="39"/>
      <c r="G24" s="39"/>
      <c r="H24" s="39"/>
    </row>
    <row r="25" ht="76" customHeight="1" spans="1:8">
      <c r="A25" s="52" t="s">
        <v>26</v>
      </c>
      <c r="B25" s="53" t="s">
        <v>27</v>
      </c>
      <c r="C25" s="38"/>
      <c r="D25" s="38"/>
      <c r="E25" s="38"/>
      <c r="F25" s="38"/>
      <c r="G25" s="38"/>
      <c r="H25" s="38"/>
    </row>
    <row r="26" spans="1:8">
      <c r="A26" s="38"/>
      <c r="B26" s="38"/>
      <c r="C26" s="38"/>
      <c r="D26" s="38"/>
      <c r="E26" s="38"/>
      <c r="F26" s="38"/>
      <c r="G26" s="38"/>
      <c r="H26" s="38"/>
    </row>
    <row r="27" ht="30" customHeight="1" spans="1:8">
      <c r="A27" s="48" t="s">
        <v>28</v>
      </c>
      <c r="B27" s="48"/>
      <c r="C27" s="38"/>
      <c r="D27" s="38"/>
      <c r="E27" s="38"/>
      <c r="F27" s="38"/>
      <c r="G27" s="38"/>
      <c r="H27" s="38"/>
    </row>
    <row r="28" ht="30" customHeight="1" spans="1:8">
      <c r="A28" s="45" t="s">
        <v>29</v>
      </c>
      <c r="B28" s="46" t="s">
        <v>30</v>
      </c>
    </row>
    <row r="29" ht="30" customHeight="1" spans="1:8">
      <c r="A29" s="45" t="s">
        <v>31</v>
      </c>
      <c r="B29" s="46" t="s">
        <v>32</v>
      </c>
    </row>
    <row r="30" ht="30" customHeight="1" spans="1:8">
      <c r="A30" s="45" t="s">
        <v>33</v>
      </c>
      <c r="B30" s="46" t="s">
        <v>34</v>
      </c>
    </row>
    <row r="31" ht="30" customHeight="1" spans="1:8">
      <c r="A31" s="45" t="s">
        <v>35</v>
      </c>
      <c r="B31" s="46" t="s">
        <v>36</v>
      </c>
    </row>
    <row r="32" ht="30" customHeight="1" spans="1:8">
      <c r="A32" s="45" t="s">
        <v>37</v>
      </c>
      <c r="B32" s="46" t="s">
        <v>36</v>
      </c>
    </row>
    <row r="33" ht="46" customHeight="1" spans="1:2">
      <c r="A33" s="45" t="s">
        <v>38</v>
      </c>
      <c r="B33" s="46" t="s">
        <v>39</v>
      </c>
    </row>
    <row r="34" ht="46" customHeight="1" spans="1:2">
      <c r="A34" s="45" t="s">
        <v>40</v>
      </c>
      <c r="B34" s="46" t="s">
        <v>41</v>
      </c>
    </row>
    <row r="35" spans="1:2">
      <c r="A35" s="13"/>
      <c r="B35" s="13"/>
    </row>
    <row r="36" spans="1:2">
      <c r="A36" s="13"/>
      <c r="B36" s="13"/>
    </row>
    <row r="37" spans="1:2">
      <c r="A37" s="13"/>
      <c r="B37" s="13"/>
    </row>
    <row r="38" spans="1:2">
      <c r="A38" s="13"/>
      <c r="B38" s="13"/>
    </row>
    <row r="39" spans="1:2">
      <c r="A39" s="13"/>
      <c r="B39" s="13"/>
    </row>
    <row r="40" spans="1:2">
      <c r="A40" s="13"/>
      <c r="B40" s="13"/>
    </row>
  </sheetData>
  <mergeCells count="5">
    <mergeCell ref="A1:B1"/>
    <mergeCell ref="A16:B16"/>
    <mergeCell ref="A17:B17"/>
    <mergeCell ref="A24:B24"/>
    <mergeCell ref="A27:B27"/>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selection activeCell="A1" sqref="A1"/>
    </sheetView>
  </sheetViews>
  <sheetFormatPr defaultColWidth="9" defaultRowHeight="13.5"/>
  <cols>
    <col min="1" max="1" width="7" customWidth="1"/>
    <col min="2" max="3" width="15" customWidth="1"/>
    <col min="4" max="4" width="19" customWidth="1"/>
    <col min="5" max="5" width="27" customWidth="1"/>
    <col min="6" max="6" width="52" customWidth="1"/>
    <col min="7" max="7" width="27" customWidth="1"/>
    <col min="8" max="8" width="16" customWidth="1"/>
    <col min="9" max="9" width="29" customWidth="1"/>
    <col min="10" max="10" width="9" customWidth="1"/>
    <col min="11" max="11" width="17" customWidth="1"/>
    <col min="12" max="12" width="12" customWidth="1"/>
    <col min="13" max="13" width="20" customWidth="1"/>
    <col min="14" max="14" width="42" customWidth="1"/>
    <col min="15" max="15" width="44" customWidth="1"/>
    <col min="16" max="16" width="48" customWidth="1"/>
    <col min="17" max="17" width="52" customWidth="1"/>
    <col min="18" max="18" width="9" customWidth="1"/>
    <col min="19" max="19" width="14" customWidth="1"/>
    <col min="20" max="20" width="34" customWidth="1"/>
    <col min="21" max="21" width="11" customWidth="1"/>
    <col min="22" max="22" width="14" customWidth="1"/>
    <col min="23" max="23" width="46" customWidth="1"/>
    <col min="24" max="24" width="26" customWidth="1"/>
    <col min="25" max="25" width="18" customWidth="1"/>
    <col min="26" max="26" width="32" customWidth="1"/>
  </cols>
  <sheetData>
    <row r="1" ht="34" customHeight="1" spans="1:26">
      <c r="A1" s="2" t="s">
        <v>42</v>
      </c>
      <c r="B1" s="6" t="s">
        <v>43</v>
      </c>
      <c r="C1" s="6" t="s">
        <v>44</v>
      </c>
      <c r="D1" s="2" t="s">
        <v>45</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c r="W1" s="2" t="s">
        <v>64</v>
      </c>
      <c r="X1" s="2" t="s">
        <v>65</v>
      </c>
      <c r="Y1" s="2" t="s">
        <v>66</v>
      </c>
      <c r="Z1" s="2" t="s">
        <v>67</v>
      </c>
    </row>
    <row r="2" ht="27" spans="1:26">
      <c r="A2" s="10">
        <v>1</v>
      </c>
      <c r="B2" s="25">
        <v>46204</v>
      </c>
      <c r="C2" s="25">
        <v>46239.4590277778</v>
      </c>
      <c r="D2" s="11" t="s">
        <v>68</v>
      </c>
      <c r="E2" s="11" t="s">
        <v>69</v>
      </c>
      <c r="F2" s="11" t="s">
        <v>70</v>
      </c>
      <c r="G2" s="11" t="s">
        <v>69</v>
      </c>
      <c r="H2" s="11" t="s">
        <v>71</v>
      </c>
      <c r="I2" s="11" t="s">
        <v>72</v>
      </c>
      <c r="J2" s="11" t="s">
        <v>73</v>
      </c>
      <c r="K2" s="11" t="s">
        <v>74</v>
      </c>
      <c r="L2" s="11" t="s">
        <v>75</v>
      </c>
      <c r="M2" s="11"/>
      <c r="N2" s="11" t="s">
        <v>76</v>
      </c>
      <c r="O2" s="11" t="s">
        <v>77</v>
      </c>
      <c r="P2" s="11" t="s">
        <v>78</v>
      </c>
      <c r="Q2" s="11" t="s">
        <v>79</v>
      </c>
      <c r="R2" s="11" t="s">
        <v>80</v>
      </c>
      <c r="S2" s="11" t="s">
        <v>81</v>
      </c>
      <c r="T2" s="11" t="s">
        <v>82</v>
      </c>
      <c r="U2" s="11" t="s">
        <v>83</v>
      </c>
      <c r="V2" s="11" t="s">
        <v>83</v>
      </c>
      <c r="W2" s="11" t="s">
        <v>84</v>
      </c>
      <c r="X2" s="11"/>
      <c r="Y2" s="11" t="s">
        <v>83</v>
      </c>
      <c r="Z2" s="10" t="s">
        <v>85</v>
      </c>
    </row>
    <row r="3" ht="27" spans="1:26">
      <c r="A3" s="3">
        <v>2</v>
      </c>
      <c r="B3" s="26">
        <v>46205</v>
      </c>
      <c r="C3" s="26">
        <v>46239.4590277778</v>
      </c>
      <c r="D3" s="4" t="s">
        <v>86</v>
      </c>
      <c r="E3" s="4" t="s">
        <v>87</v>
      </c>
      <c r="F3" s="4" t="s">
        <v>88</v>
      </c>
      <c r="G3" s="4" t="s">
        <v>89</v>
      </c>
      <c r="H3" s="4" t="s">
        <v>90</v>
      </c>
      <c r="I3" s="4" t="s">
        <v>91</v>
      </c>
      <c r="J3" s="4" t="s">
        <v>73</v>
      </c>
      <c r="K3" s="4" t="s">
        <v>92</v>
      </c>
      <c r="L3" s="4" t="s">
        <v>75</v>
      </c>
      <c r="M3" s="4"/>
      <c r="N3" s="4" t="s">
        <v>93</v>
      </c>
      <c r="O3" s="4" t="s">
        <v>94</v>
      </c>
      <c r="P3" s="4" t="s">
        <v>95</v>
      </c>
      <c r="Q3" s="4" t="s">
        <v>96</v>
      </c>
      <c r="R3" s="4" t="s">
        <v>80</v>
      </c>
      <c r="S3" s="4" t="s">
        <v>97</v>
      </c>
      <c r="T3" s="4" t="s">
        <v>98</v>
      </c>
      <c r="U3" s="4" t="s">
        <v>83</v>
      </c>
      <c r="V3" s="4" t="s">
        <v>83</v>
      </c>
      <c r="W3" s="4" t="s">
        <v>99</v>
      </c>
      <c r="X3" s="4"/>
      <c r="Y3" s="4" t="s">
        <v>83</v>
      </c>
      <c r="Z3" s="3" t="s">
        <v>85</v>
      </c>
    </row>
    <row r="4" ht="40.5" spans="1:26">
      <c r="A4" s="10">
        <v>3</v>
      </c>
      <c r="B4" s="25">
        <v>46206</v>
      </c>
      <c r="C4" s="25">
        <v>46239.4590277778</v>
      </c>
      <c r="D4" s="11" t="s">
        <v>86</v>
      </c>
      <c r="E4" s="11" t="s">
        <v>100</v>
      </c>
      <c r="F4" s="11" t="s">
        <v>101</v>
      </c>
      <c r="G4" s="11" t="s">
        <v>102</v>
      </c>
      <c r="H4" s="11" t="s">
        <v>90</v>
      </c>
      <c r="I4" s="11" t="s">
        <v>103</v>
      </c>
      <c r="J4" s="11" t="s">
        <v>73</v>
      </c>
      <c r="K4" s="11" t="s">
        <v>104</v>
      </c>
      <c r="L4" s="11" t="s">
        <v>75</v>
      </c>
      <c r="M4" s="11"/>
      <c r="N4" s="11" t="s">
        <v>105</v>
      </c>
      <c r="O4" s="11" t="s">
        <v>106</v>
      </c>
      <c r="P4" s="11" t="s">
        <v>107</v>
      </c>
      <c r="Q4" s="11" t="s">
        <v>108</v>
      </c>
      <c r="R4" s="11" t="s">
        <v>80</v>
      </c>
      <c r="S4" s="11" t="s">
        <v>97</v>
      </c>
      <c r="T4" s="11" t="s">
        <v>109</v>
      </c>
      <c r="U4" s="11" t="s">
        <v>83</v>
      </c>
      <c r="V4" s="11" t="s">
        <v>83</v>
      </c>
      <c r="W4" s="11" t="s">
        <v>110</v>
      </c>
      <c r="X4" s="11"/>
      <c r="Y4" s="11" t="s">
        <v>83</v>
      </c>
      <c r="Z4" s="10" t="s">
        <v>85</v>
      </c>
    </row>
    <row r="5" ht="40.5" spans="1:26">
      <c r="A5" s="3">
        <v>4</v>
      </c>
      <c r="B5" s="26">
        <v>46208</v>
      </c>
      <c r="C5" s="26">
        <v>46239.4590277778</v>
      </c>
      <c r="D5" s="4" t="s">
        <v>86</v>
      </c>
      <c r="E5" s="4" t="s">
        <v>100</v>
      </c>
      <c r="F5" s="4" t="s">
        <v>111</v>
      </c>
      <c r="G5" s="4" t="s">
        <v>100</v>
      </c>
      <c r="H5" s="4" t="s">
        <v>90</v>
      </c>
      <c r="I5" s="4" t="s">
        <v>112</v>
      </c>
      <c r="J5" s="4" t="s">
        <v>73</v>
      </c>
      <c r="K5" s="4" t="s">
        <v>104</v>
      </c>
      <c r="L5" s="4" t="s">
        <v>75</v>
      </c>
      <c r="M5" s="4"/>
      <c r="N5" s="4" t="s">
        <v>113</v>
      </c>
      <c r="O5" s="4" t="s">
        <v>114</v>
      </c>
      <c r="P5" s="4" t="s">
        <v>115</v>
      </c>
      <c r="Q5" s="4" t="s">
        <v>116</v>
      </c>
      <c r="R5" s="4" t="s">
        <v>80</v>
      </c>
      <c r="S5" s="4" t="s">
        <v>97</v>
      </c>
      <c r="T5" s="4" t="s">
        <v>117</v>
      </c>
      <c r="U5" s="4" t="s">
        <v>83</v>
      </c>
      <c r="V5" s="4" t="s">
        <v>83</v>
      </c>
      <c r="W5" s="4" t="s">
        <v>118</v>
      </c>
      <c r="X5" s="4"/>
      <c r="Y5" s="4" t="s">
        <v>83</v>
      </c>
      <c r="Z5" s="3" t="s">
        <v>85</v>
      </c>
    </row>
    <row r="6" ht="54" spans="1:26">
      <c r="A6" s="10">
        <v>5</v>
      </c>
      <c r="B6" s="25">
        <v>46208</v>
      </c>
      <c r="C6" s="25">
        <v>46239.4590277778</v>
      </c>
      <c r="D6" s="11" t="s">
        <v>86</v>
      </c>
      <c r="E6" s="11" t="s">
        <v>100</v>
      </c>
      <c r="F6" s="11" t="s">
        <v>119</v>
      </c>
      <c r="G6" s="11" t="s">
        <v>100</v>
      </c>
      <c r="H6" s="11" t="s">
        <v>90</v>
      </c>
      <c r="I6" s="11" t="s">
        <v>120</v>
      </c>
      <c r="J6" s="11" t="s">
        <v>73</v>
      </c>
      <c r="K6" s="11" t="s">
        <v>104</v>
      </c>
      <c r="L6" s="11" t="s">
        <v>75</v>
      </c>
      <c r="M6" s="11"/>
      <c r="N6" s="11" t="s">
        <v>121</v>
      </c>
      <c r="O6" s="11" t="s">
        <v>122</v>
      </c>
      <c r="P6" s="11" t="s">
        <v>123</v>
      </c>
      <c r="Q6" s="11" t="s">
        <v>124</v>
      </c>
      <c r="R6" s="11" t="s">
        <v>80</v>
      </c>
      <c r="S6" s="11" t="s">
        <v>97</v>
      </c>
      <c r="T6" s="11" t="s">
        <v>125</v>
      </c>
      <c r="U6" s="11" t="s">
        <v>83</v>
      </c>
      <c r="V6" s="11" t="s">
        <v>126</v>
      </c>
      <c r="W6" s="11" t="s">
        <v>127</v>
      </c>
      <c r="X6" s="11"/>
      <c r="Y6" s="11" t="s">
        <v>83</v>
      </c>
      <c r="Z6" s="10" t="s">
        <v>85</v>
      </c>
    </row>
    <row r="7" ht="40.5" spans="1:26">
      <c r="A7" s="3">
        <v>6</v>
      </c>
      <c r="B7" s="26">
        <v>46210</v>
      </c>
      <c r="C7" s="26">
        <v>46239.4590277778</v>
      </c>
      <c r="D7" s="4" t="s">
        <v>128</v>
      </c>
      <c r="E7" s="4" t="s">
        <v>129</v>
      </c>
      <c r="F7" s="4" t="s">
        <v>130</v>
      </c>
      <c r="G7" s="4" t="s">
        <v>131</v>
      </c>
      <c r="H7" s="4" t="s">
        <v>90</v>
      </c>
      <c r="I7" s="4" t="s">
        <v>132</v>
      </c>
      <c r="J7" s="4" t="s">
        <v>73</v>
      </c>
      <c r="K7" s="4" t="s">
        <v>133</v>
      </c>
      <c r="L7" s="4" t="s">
        <v>75</v>
      </c>
      <c r="M7" s="4"/>
      <c r="N7" s="4" t="s">
        <v>134</v>
      </c>
      <c r="O7" s="4" t="s">
        <v>135</v>
      </c>
      <c r="P7" s="4" t="s">
        <v>136</v>
      </c>
      <c r="Q7" s="4" t="s">
        <v>137</v>
      </c>
      <c r="R7" s="4" t="s">
        <v>80</v>
      </c>
      <c r="S7" s="4" t="s">
        <v>97</v>
      </c>
      <c r="T7" s="4" t="s">
        <v>138</v>
      </c>
      <c r="U7" s="4" t="s">
        <v>83</v>
      </c>
      <c r="V7" s="4" t="s">
        <v>83</v>
      </c>
      <c r="W7" s="4" t="s">
        <v>139</v>
      </c>
      <c r="X7" s="4"/>
      <c r="Y7" s="4" t="s">
        <v>83</v>
      </c>
      <c r="Z7" s="3" t="s">
        <v>85</v>
      </c>
    </row>
    <row r="8" ht="54" spans="1:26">
      <c r="A8" s="10">
        <v>7</v>
      </c>
      <c r="B8" s="25">
        <v>46210</v>
      </c>
      <c r="C8" s="25">
        <v>46239.4590277778</v>
      </c>
      <c r="D8" s="11" t="s">
        <v>140</v>
      </c>
      <c r="E8" s="11" t="s">
        <v>141</v>
      </c>
      <c r="F8" s="11" t="s">
        <v>142</v>
      </c>
      <c r="G8" s="11" t="s">
        <v>141</v>
      </c>
      <c r="H8" s="11" t="s">
        <v>90</v>
      </c>
      <c r="I8" s="11" t="s">
        <v>91</v>
      </c>
      <c r="J8" s="11" t="s">
        <v>73</v>
      </c>
      <c r="K8" s="11" t="s">
        <v>92</v>
      </c>
      <c r="L8" s="11" t="s">
        <v>75</v>
      </c>
      <c r="M8" s="11"/>
      <c r="N8" s="11" t="s">
        <v>143</v>
      </c>
      <c r="O8" s="11" t="s">
        <v>144</v>
      </c>
      <c r="P8" s="11" t="s">
        <v>145</v>
      </c>
      <c r="Q8" s="11" t="s">
        <v>146</v>
      </c>
      <c r="R8" s="11" t="s">
        <v>80</v>
      </c>
      <c r="S8" s="11" t="s">
        <v>97</v>
      </c>
      <c r="T8" s="11" t="s">
        <v>147</v>
      </c>
      <c r="U8" s="11" t="s">
        <v>83</v>
      </c>
      <c r="V8" s="11" t="s">
        <v>126</v>
      </c>
      <c r="W8" s="11" t="s">
        <v>148</v>
      </c>
      <c r="X8" s="11"/>
      <c r="Y8" s="11" t="s">
        <v>83</v>
      </c>
      <c r="Z8" s="10" t="s">
        <v>85</v>
      </c>
    </row>
    <row r="9" ht="67.5" spans="1:26">
      <c r="A9" s="3">
        <v>8</v>
      </c>
      <c r="B9" s="26">
        <v>46212.7298611111</v>
      </c>
      <c r="C9" s="26">
        <v>46239.4590277778</v>
      </c>
      <c r="D9" s="4" t="s">
        <v>128</v>
      </c>
      <c r="E9" s="4" t="s">
        <v>149</v>
      </c>
      <c r="F9" s="4" t="s">
        <v>150</v>
      </c>
      <c r="G9" s="4" t="s">
        <v>151</v>
      </c>
      <c r="H9" s="4" t="s">
        <v>90</v>
      </c>
      <c r="I9" s="4" t="s">
        <v>152</v>
      </c>
      <c r="J9" s="4" t="s">
        <v>153</v>
      </c>
      <c r="K9" s="4" t="s">
        <v>104</v>
      </c>
      <c r="L9" s="4" t="s">
        <v>75</v>
      </c>
      <c r="M9" s="4"/>
      <c r="N9" s="4" t="s">
        <v>154</v>
      </c>
      <c r="O9" s="4" t="s">
        <v>155</v>
      </c>
      <c r="P9" s="4" t="s">
        <v>156</v>
      </c>
      <c r="Q9" s="4" t="s">
        <v>157</v>
      </c>
      <c r="R9" s="4" t="s">
        <v>80</v>
      </c>
      <c r="S9" s="4" t="s">
        <v>97</v>
      </c>
      <c r="T9" s="4" t="s">
        <v>158</v>
      </c>
      <c r="U9" s="4" t="s">
        <v>83</v>
      </c>
      <c r="V9" s="4" t="s">
        <v>83</v>
      </c>
      <c r="W9" s="4" t="s">
        <v>159</v>
      </c>
      <c r="X9" s="4" t="s">
        <v>160</v>
      </c>
      <c r="Y9" s="4" t="s">
        <v>83</v>
      </c>
      <c r="Z9" s="3" t="s">
        <v>85</v>
      </c>
    </row>
    <row r="10" ht="27" spans="1:26">
      <c r="A10" s="10">
        <v>9</v>
      </c>
      <c r="B10" s="25">
        <v>46218</v>
      </c>
      <c r="C10" s="25">
        <v>46239.4590277778</v>
      </c>
      <c r="D10" s="11" t="s">
        <v>86</v>
      </c>
      <c r="E10" s="11" t="s">
        <v>161</v>
      </c>
      <c r="F10" s="11" t="s">
        <v>162</v>
      </c>
      <c r="G10" s="11" t="s">
        <v>163</v>
      </c>
      <c r="H10" s="11" t="s">
        <v>90</v>
      </c>
      <c r="I10" s="11" t="s">
        <v>164</v>
      </c>
      <c r="J10" s="11" t="s">
        <v>153</v>
      </c>
      <c r="K10" s="11" t="s">
        <v>133</v>
      </c>
      <c r="L10" s="11" t="s">
        <v>75</v>
      </c>
      <c r="M10" s="11"/>
      <c r="N10" s="11" t="s">
        <v>165</v>
      </c>
      <c r="O10" s="11" t="s">
        <v>166</v>
      </c>
      <c r="P10" s="11" t="s">
        <v>167</v>
      </c>
      <c r="Q10" s="11" t="s">
        <v>168</v>
      </c>
      <c r="R10" s="11" t="s">
        <v>80</v>
      </c>
      <c r="S10" s="11" t="s">
        <v>97</v>
      </c>
      <c r="T10" s="11" t="s">
        <v>169</v>
      </c>
      <c r="U10" s="11" t="s">
        <v>83</v>
      </c>
      <c r="V10" s="11" t="s">
        <v>83</v>
      </c>
      <c r="W10" s="11" t="s">
        <v>170</v>
      </c>
      <c r="X10" s="11"/>
      <c r="Y10" s="11" t="s">
        <v>83</v>
      </c>
      <c r="Z10" s="10" t="s">
        <v>85</v>
      </c>
    </row>
    <row r="11" ht="54" spans="1:26">
      <c r="A11" s="3">
        <v>10</v>
      </c>
      <c r="B11" s="26">
        <v>46226</v>
      </c>
      <c r="C11" s="26">
        <v>46239.4590277778</v>
      </c>
      <c r="D11" s="4" t="s">
        <v>171</v>
      </c>
      <c r="E11" s="4" t="s">
        <v>172</v>
      </c>
      <c r="F11" s="4" t="s">
        <v>173</v>
      </c>
      <c r="G11" s="4" t="s">
        <v>174</v>
      </c>
      <c r="H11" s="4" t="s">
        <v>175</v>
      </c>
      <c r="I11" s="4" t="s">
        <v>176</v>
      </c>
      <c r="J11" s="4" t="s">
        <v>73</v>
      </c>
      <c r="K11" s="4" t="s">
        <v>104</v>
      </c>
      <c r="L11" s="4" t="s">
        <v>75</v>
      </c>
      <c r="M11" s="4"/>
      <c r="N11" s="4" t="s">
        <v>177</v>
      </c>
      <c r="O11" s="4" t="s">
        <v>178</v>
      </c>
      <c r="P11" s="4" t="s">
        <v>179</v>
      </c>
      <c r="Q11" s="4" t="s">
        <v>180</v>
      </c>
      <c r="R11" s="4" t="s">
        <v>80</v>
      </c>
      <c r="S11" s="4" t="s">
        <v>81</v>
      </c>
      <c r="T11" s="4" t="s">
        <v>181</v>
      </c>
      <c r="U11" s="4" t="s">
        <v>182</v>
      </c>
      <c r="V11" s="4" t="s">
        <v>83</v>
      </c>
      <c r="W11" s="4" t="s">
        <v>183</v>
      </c>
      <c r="X11" s="4" t="s">
        <v>184</v>
      </c>
      <c r="Y11" s="4" t="s">
        <v>83</v>
      </c>
      <c r="Z11" s="3" t="s">
        <v>85</v>
      </c>
    </row>
    <row r="12" ht="40.5" spans="1:26">
      <c r="A12" s="10">
        <v>11</v>
      </c>
      <c r="B12" s="25">
        <v>46226.7</v>
      </c>
      <c r="C12" s="25">
        <v>46239.5166666667</v>
      </c>
      <c r="D12" s="11" t="s">
        <v>185</v>
      </c>
      <c r="E12" s="11" t="s">
        <v>186</v>
      </c>
      <c r="F12" s="11" t="s">
        <v>187</v>
      </c>
      <c r="G12" s="11" t="s">
        <v>188</v>
      </c>
      <c r="H12" s="11" t="s">
        <v>90</v>
      </c>
      <c r="I12" s="11" t="s">
        <v>164</v>
      </c>
      <c r="J12" s="11" t="s">
        <v>153</v>
      </c>
      <c r="K12" s="11" t="s">
        <v>133</v>
      </c>
      <c r="L12" s="11" t="s">
        <v>75</v>
      </c>
      <c r="M12" s="11"/>
      <c r="N12" s="11" t="s">
        <v>189</v>
      </c>
      <c r="O12" s="11" t="s">
        <v>190</v>
      </c>
      <c r="P12" s="11" t="s">
        <v>191</v>
      </c>
      <c r="Q12" s="11" t="s">
        <v>192</v>
      </c>
      <c r="R12" s="11" t="s">
        <v>80</v>
      </c>
      <c r="S12" s="11" t="s">
        <v>97</v>
      </c>
      <c r="T12" s="11" t="s">
        <v>193</v>
      </c>
      <c r="U12" s="11" t="s">
        <v>194</v>
      </c>
      <c r="V12" s="11" t="s">
        <v>126</v>
      </c>
      <c r="W12" s="11" t="s">
        <v>195</v>
      </c>
      <c r="X12" s="11"/>
      <c r="Y12" s="11" t="s">
        <v>83</v>
      </c>
      <c r="Z12" s="10" t="s">
        <v>196</v>
      </c>
    </row>
    <row r="13" ht="27" spans="1:26">
      <c r="A13" s="3">
        <v>12</v>
      </c>
      <c r="B13" s="26">
        <v>46227.6993055556</v>
      </c>
      <c r="C13" s="26">
        <v>46239.5166666667</v>
      </c>
      <c r="D13" s="4" t="s">
        <v>185</v>
      </c>
      <c r="E13" s="4" t="s">
        <v>197</v>
      </c>
      <c r="F13" s="4" t="s">
        <v>198</v>
      </c>
      <c r="G13" s="4" t="s">
        <v>199</v>
      </c>
      <c r="H13" s="4" t="s">
        <v>90</v>
      </c>
      <c r="I13" s="4" t="s">
        <v>200</v>
      </c>
      <c r="J13" s="4" t="s">
        <v>73</v>
      </c>
      <c r="K13" s="4" t="s">
        <v>133</v>
      </c>
      <c r="L13" s="4" t="s">
        <v>75</v>
      </c>
      <c r="M13" s="4"/>
      <c r="N13" s="4" t="s">
        <v>201</v>
      </c>
      <c r="O13" s="4" t="s">
        <v>202</v>
      </c>
      <c r="P13" s="4" t="s">
        <v>203</v>
      </c>
      <c r="Q13" s="4" t="s">
        <v>192</v>
      </c>
      <c r="R13" s="4" t="s">
        <v>80</v>
      </c>
      <c r="S13" s="4" t="s">
        <v>97</v>
      </c>
      <c r="T13" s="4" t="s">
        <v>204</v>
      </c>
      <c r="U13" s="4" t="s">
        <v>205</v>
      </c>
      <c r="V13" s="4" t="s">
        <v>126</v>
      </c>
      <c r="W13" s="4" t="s">
        <v>206</v>
      </c>
      <c r="X13" s="4"/>
      <c r="Y13" s="4" t="s">
        <v>83</v>
      </c>
      <c r="Z13" s="3" t="s">
        <v>207</v>
      </c>
    </row>
    <row r="14" ht="27" spans="1:26">
      <c r="A14" s="10">
        <v>13</v>
      </c>
      <c r="B14" s="25">
        <v>46231</v>
      </c>
      <c r="C14" s="25">
        <v>46239.4590277778</v>
      </c>
      <c r="D14" s="11" t="s">
        <v>86</v>
      </c>
      <c r="E14" s="11" t="s">
        <v>161</v>
      </c>
      <c r="F14" s="11" t="s">
        <v>208</v>
      </c>
      <c r="G14" s="11" t="s">
        <v>209</v>
      </c>
      <c r="H14" s="11" t="s">
        <v>90</v>
      </c>
      <c r="I14" s="11" t="s">
        <v>164</v>
      </c>
      <c r="J14" s="11" t="s">
        <v>153</v>
      </c>
      <c r="K14" s="11" t="s">
        <v>133</v>
      </c>
      <c r="L14" s="11" t="s">
        <v>75</v>
      </c>
      <c r="M14" s="11"/>
      <c r="N14" s="11" t="s">
        <v>210</v>
      </c>
      <c r="O14" s="11" t="s">
        <v>211</v>
      </c>
      <c r="P14" s="11" t="s">
        <v>212</v>
      </c>
      <c r="Q14" s="11" t="s">
        <v>213</v>
      </c>
      <c r="R14" s="11" t="s">
        <v>80</v>
      </c>
      <c r="S14" s="11" t="s">
        <v>97</v>
      </c>
      <c r="T14" s="11" t="s">
        <v>214</v>
      </c>
      <c r="U14" s="11" t="s">
        <v>83</v>
      </c>
      <c r="V14" s="11" t="s">
        <v>83</v>
      </c>
      <c r="W14" s="11" t="s">
        <v>215</v>
      </c>
      <c r="X14" s="11"/>
      <c r="Y14" s="11" t="s">
        <v>83</v>
      </c>
      <c r="Z14" s="10" t="s">
        <v>85</v>
      </c>
    </row>
    <row r="15" ht="54" spans="1:26">
      <c r="A15" s="3">
        <v>14</v>
      </c>
      <c r="B15" s="26">
        <v>46232</v>
      </c>
      <c r="C15" s="26">
        <v>46239.4590277778</v>
      </c>
      <c r="D15" s="4" t="s">
        <v>216</v>
      </c>
      <c r="E15" s="4" t="s">
        <v>217</v>
      </c>
      <c r="F15" s="4" t="s">
        <v>218</v>
      </c>
      <c r="G15" s="4" t="s">
        <v>219</v>
      </c>
      <c r="H15" s="4" t="s">
        <v>90</v>
      </c>
      <c r="I15" s="4" t="s">
        <v>220</v>
      </c>
      <c r="J15" s="4" t="s">
        <v>73</v>
      </c>
      <c r="K15" s="4" t="s">
        <v>221</v>
      </c>
      <c r="L15" s="4" t="s">
        <v>75</v>
      </c>
      <c r="M15" s="4"/>
      <c r="N15" s="4" t="s">
        <v>222</v>
      </c>
      <c r="O15" s="4" t="s">
        <v>223</v>
      </c>
      <c r="P15" s="4" t="s">
        <v>224</v>
      </c>
      <c r="Q15" s="4" t="s">
        <v>225</v>
      </c>
      <c r="R15" s="4" t="s">
        <v>80</v>
      </c>
      <c r="S15" s="4" t="s">
        <v>97</v>
      </c>
      <c r="T15" s="4" t="s">
        <v>226</v>
      </c>
      <c r="U15" s="4" t="s">
        <v>83</v>
      </c>
      <c r="V15" s="4" t="s">
        <v>83</v>
      </c>
      <c r="W15" s="4" t="s">
        <v>227</v>
      </c>
      <c r="X15" s="4"/>
      <c r="Y15" s="4" t="s">
        <v>83</v>
      </c>
      <c r="Z15" s="3" t="s">
        <v>85</v>
      </c>
    </row>
    <row r="16" ht="40.5" spans="1:26">
      <c r="A16" s="3">
        <v>15</v>
      </c>
      <c r="B16" s="26">
        <v>46233.6826388889</v>
      </c>
      <c r="C16" s="26">
        <v>46239.5166666667</v>
      </c>
      <c r="D16" s="4" t="s">
        <v>185</v>
      </c>
      <c r="E16" s="4" t="s">
        <v>228</v>
      </c>
      <c r="F16" s="4" t="s">
        <v>229</v>
      </c>
      <c r="G16" s="4" t="s">
        <v>230</v>
      </c>
      <c r="H16" s="4" t="s">
        <v>90</v>
      </c>
      <c r="I16" s="4" t="s">
        <v>231</v>
      </c>
      <c r="J16" s="4" t="s">
        <v>153</v>
      </c>
      <c r="K16" s="4" t="s">
        <v>232</v>
      </c>
      <c r="L16" s="4" t="s">
        <v>75</v>
      </c>
      <c r="M16" s="4"/>
      <c r="N16" s="4" t="s">
        <v>233</v>
      </c>
      <c r="O16" s="4" t="s">
        <v>234</v>
      </c>
      <c r="P16" s="4" t="s">
        <v>235</v>
      </c>
      <c r="Q16" s="4" t="s">
        <v>192</v>
      </c>
      <c r="R16" s="4" t="s">
        <v>80</v>
      </c>
      <c r="S16" s="4" t="s">
        <v>97</v>
      </c>
      <c r="T16" s="4" t="s">
        <v>236</v>
      </c>
      <c r="U16" s="4" t="s">
        <v>83</v>
      </c>
      <c r="V16" s="4" t="s">
        <v>126</v>
      </c>
      <c r="W16" s="4" t="s">
        <v>237</v>
      </c>
      <c r="X16" s="4"/>
      <c r="Y16" s="4" t="s">
        <v>83</v>
      </c>
      <c r="Z16" s="3" t="s">
        <v>238</v>
      </c>
    </row>
    <row r="17" ht="40.5" spans="1:26">
      <c r="A17" s="3">
        <v>16</v>
      </c>
      <c r="B17" s="26"/>
      <c r="C17" s="26">
        <v>46239.5166666667</v>
      </c>
      <c r="D17" s="4" t="s">
        <v>185</v>
      </c>
      <c r="E17" s="4" t="s">
        <v>197</v>
      </c>
      <c r="F17" s="4" t="s">
        <v>239</v>
      </c>
      <c r="G17" s="4" t="s">
        <v>199</v>
      </c>
      <c r="H17" s="4" t="s">
        <v>90</v>
      </c>
      <c r="I17" s="4" t="s">
        <v>200</v>
      </c>
      <c r="J17" s="4" t="s">
        <v>73</v>
      </c>
      <c r="K17" s="4" t="s">
        <v>133</v>
      </c>
      <c r="L17" s="4" t="s">
        <v>75</v>
      </c>
      <c r="M17" s="4"/>
      <c r="N17" s="4" t="s">
        <v>240</v>
      </c>
      <c r="O17" s="4" t="s">
        <v>241</v>
      </c>
      <c r="P17" s="4" t="s">
        <v>242</v>
      </c>
      <c r="Q17" s="4" t="s">
        <v>192</v>
      </c>
      <c r="R17" s="4" t="s">
        <v>80</v>
      </c>
      <c r="S17" s="4" t="s">
        <v>97</v>
      </c>
      <c r="T17" s="4" t="s">
        <v>243</v>
      </c>
      <c r="U17" s="4" t="s">
        <v>83</v>
      </c>
      <c r="V17" s="4" t="s">
        <v>126</v>
      </c>
      <c r="W17" s="4" t="s">
        <v>244</v>
      </c>
      <c r="X17" s="4"/>
      <c r="Y17" s="4" t="s">
        <v>83</v>
      </c>
      <c r="Z17" s="3" t="s">
        <v>245</v>
      </c>
    </row>
    <row r="18" ht="27" spans="1:26">
      <c r="A18" s="3">
        <v>17</v>
      </c>
      <c r="B18" s="27"/>
      <c r="C18" s="27">
        <v>46239.5166666667</v>
      </c>
      <c r="D18" s="3" t="s">
        <v>185</v>
      </c>
      <c r="E18" s="3" t="s">
        <v>246</v>
      </c>
      <c r="F18" s="3" t="s">
        <v>247</v>
      </c>
      <c r="G18" s="3" t="s">
        <v>248</v>
      </c>
      <c r="H18" s="3" t="s">
        <v>90</v>
      </c>
      <c r="I18" s="3" t="s">
        <v>249</v>
      </c>
      <c r="J18" s="3" t="s">
        <v>153</v>
      </c>
      <c r="K18" s="3" t="s">
        <v>133</v>
      </c>
      <c r="L18" s="3" t="s">
        <v>75</v>
      </c>
      <c r="M18" s="3"/>
      <c r="N18" s="3" t="s">
        <v>250</v>
      </c>
      <c r="O18" s="3" t="s">
        <v>251</v>
      </c>
      <c r="P18" s="3" t="s">
        <v>252</v>
      </c>
      <c r="Q18" s="3" t="s">
        <v>192</v>
      </c>
      <c r="R18" s="3" t="s">
        <v>80</v>
      </c>
      <c r="S18" s="3" t="s">
        <v>97</v>
      </c>
      <c r="T18" s="3" t="s">
        <v>253</v>
      </c>
      <c r="U18" s="3" t="s">
        <v>83</v>
      </c>
      <c r="V18" s="3" t="s">
        <v>126</v>
      </c>
      <c r="W18" s="3" t="s">
        <v>254</v>
      </c>
      <c r="X18" s="3"/>
      <c r="Y18" s="3" t="s">
        <v>83</v>
      </c>
      <c r="Z18" s="3" t="s">
        <v>255</v>
      </c>
    </row>
    <row r="19" ht="54" spans="1:26">
      <c r="A19" s="3">
        <v>18</v>
      </c>
      <c r="B19" s="27">
        <v>46205</v>
      </c>
      <c r="C19" s="27">
        <v>46239.8118055556</v>
      </c>
      <c r="D19" s="3" t="s">
        <v>256</v>
      </c>
      <c r="E19" s="3" t="s">
        <v>257</v>
      </c>
      <c r="F19" s="3" t="s">
        <v>258</v>
      </c>
      <c r="G19" s="3" t="s">
        <v>259</v>
      </c>
      <c r="H19" s="3" t="s">
        <v>260</v>
      </c>
      <c r="I19" s="3" t="s">
        <v>132</v>
      </c>
      <c r="J19" s="3" t="s">
        <v>73</v>
      </c>
      <c r="K19" s="3" t="s">
        <v>133</v>
      </c>
      <c r="L19" s="3" t="s">
        <v>261</v>
      </c>
      <c r="M19" s="3"/>
      <c r="N19" s="3" t="s">
        <v>262</v>
      </c>
      <c r="O19" s="3" t="s">
        <v>263</v>
      </c>
      <c r="P19" s="3" t="s">
        <v>264</v>
      </c>
      <c r="Q19" s="3" t="s">
        <v>265</v>
      </c>
      <c r="R19" s="3" t="s">
        <v>80</v>
      </c>
      <c r="S19" s="3" t="s">
        <v>266</v>
      </c>
      <c r="T19" s="3" t="s">
        <v>267</v>
      </c>
      <c r="U19" s="3" t="s">
        <v>83</v>
      </c>
      <c r="V19" s="3" t="s">
        <v>126</v>
      </c>
      <c r="W19" s="3" t="s">
        <v>268</v>
      </c>
      <c r="X19" s="3"/>
      <c r="Y19" s="3" t="s">
        <v>83</v>
      </c>
      <c r="Z19" s="3" t="s">
        <v>269</v>
      </c>
    </row>
    <row r="20" ht="54" spans="1:26">
      <c r="A20" s="10">
        <v>19</v>
      </c>
      <c r="B20" s="25">
        <v>46213</v>
      </c>
      <c r="C20" s="25">
        <v>46239.8118055556</v>
      </c>
      <c r="D20" s="11" t="s">
        <v>256</v>
      </c>
      <c r="E20" s="11" t="s">
        <v>257</v>
      </c>
      <c r="F20" s="11" t="s">
        <v>270</v>
      </c>
      <c r="G20" s="11" t="s">
        <v>271</v>
      </c>
      <c r="H20" s="11" t="s">
        <v>260</v>
      </c>
      <c r="I20" s="11" t="s">
        <v>272</v>
      </c>
      <c r="J20" s="11" t="s">
        <v>73</v>
      </c>
      <c r="K20" s="11" t="s">
        <v>221</v>
      </c>
      <c r="L20" s="11" t="s">
        <v>75</v>
      </c>
      <c r="M20" s="11"/>
      <c r="N20" s="11" t="s">
        <v>273</v>
      </c>
      <c r="O20" s="11" t="s">
        <v>274</v>
      </c>
      <c r="P20" s="11" t="s">
        <v>275</v>
      </c>
      <c r="Q20" s="11" t="s">
        <v>276</v>
      </c>
      <c r="R20" s="11" t="s">
        <v>80</v>
      </c>
      <c r="S20" s="11" t="s">
        <v>266</v>
      </c>
      <c r="T20" s="11" t="s">
        <v>277</v>
      </c>
      <c r="U20" s="11" t="s">
        <v>83</v>
      </c>
      <c r="V20" s="11" t="s">
        <v>126</v>
      </c>
      <c r="W20" s="11" t="s">
        <v>278</v>
      </c>
      <c r="X20" s="11"/>
      <c r="Y20" s="11" t="s">
        <v>83</v>
      </c>
      <c r="Z20" s="10" t="s">
        <v>269</v>
      </c>
    </row>
    <row r="21" ht="54" spans="1:26">
      <c r="A21" s="3">
        <v>20</v>
      </c>
      <c r="B21" s="26">
        <v>46219</v>
      </c>
      <c r="C21" s="26">
        <v>46239.8118055556</v>
      </c>
      <c r="D21" s="4" t="s">
        <v>256</v>
      </c>
      <c r="E21" s="4" t="s">
        <v>257</v>
      </c>
      <c r="F21" s="4" t="s">
        <v>279</v>
      </c>
      <c r="G21" s="4" t="s">
        <v>271</v>
      </c>
      <c r="H21" s="4" t="s">
        <v>260</v>
      </c>
      <c r="I21" s="4" t="s">
        <v>272</v>
      </c>
      <c r="J21" s="4" t="s">
        <v>73</v>
      </c>
      <c r="K21" s="4" t="s">
        <v>221</v>
      </c>
      <c r="L21" s="4" t="s">
        <v>75</v>
      </c>
      <c r="M21" s="4"/>
      <c r="N21" s="4" t="s">
        <v>280</v>
      </c>
      <c r="O21" s="4" t="s">
        <v>281</v>
      </c>
      <c r="P21" s="4" t="s">
        <v>275</v>
      </c>
      <c r="Q21" s="4" t="s">
        <v>276</v>
      </c>
      <c r="R21" s="4" t="s">
        <v>80</v>
      </c>
      <c r="S21" s="4" t="s">
        <v>266</v>
      </c>
      <c r="T21" s="4" t="s">
        <v>277</v>
      </c>
      <c r="U21" s="4" t="s">
        <v>83</v>
      </c>
      <c r="V21" s="4" t="s">
        <v>126</v>
      </c>
      <c r="W21" s="4" t="s">
        <v>282</v>
      </c>
      <c r="X21" s="4"/>
      <c r="Y21" s="4" t="s">
        <v>83</v>
      </c>
      <c r="Z21" s="3" t="s">
        <v>269</v>
      </c>
    </row>
    <row r="22" ht="54" spans="1:26">
      <c r="A22" s="10">
        <v>21</v>
      </c>
      <c r="B22" s="25">
        <v>46205</v>
      </c>
      <c r="C22" s="25">
        <v>46239.8118055556</v>
      </c>
      <c r="D22" s="11" t="s">
        <v>256</v>
      </c>
      <c r="E22" s="11" t="s">
        <v>257</v>
      </c>
      <c r="F22" s="11" t="s">
        <v>283</v>
      </c>
      <c r="G22" s="11" t="s">
        <v>271</v>
      </c>
      <c r="H22" s="11" t="s">
        <v>260</v>
      </c>
      <c r="I22" s="11" t="s">
        <v>272</v>
      </c>
      <c r="J22" s="11" t="s">
        <v>73</v>
      </c>
      <c r="K22" s="11" t="s">
        <v>221</v>
      </c>
      <c r="L22" s="11" t="s">
        <v>75</v>
      </c>
      <c r="M22" s="11"/>
      <c r="N22" s="11" t="s">
        <v>284</v>
      </c>
      <c r="O22" s="11" t="s">
        <v>285</v>
      </c>
      <c r="P22" s="11" t="s">
        <v>286</v>
      </c>
      <c r="Q22" s="11" t="s">
        <v>276</v>
      </c>
      <c r="R22" s="11" t="s">
        <v>80</v>
      </c>
      <c r="S22" s="11" t="s">
        <v>266</v>
      </c>
      <c r="T22" s="11" t="s">
        <v>287</v>
      </c>
      <c r="U22" s="11" t="s">
        <v>83</v>
      </c>
      <c r="V22" s="11" t="s">
        <v>126</v>
      </c>
      <c r="W22" s="11" t="s">
        <v>288</v>
      </c>
      <c r="X22" s="11"/>
      <c r="Y22" s="11" t="s">
        <v>83</v>
      </c>
      <c r="Z22" s="10" t="s">
        <v>269</v>
      </c>
    </row>
    <row r="23" ht="54" spans="1:26">
      <c r="A23" s="3">
        <v>22</v>
      </c>
      <c r="B23" s="26">
        <v>46224.8291666667</v>
      </c>
      <c r="C23" s="26">
        <v>46239.8118055556</v>
      </c>
      <c r="D23" s="4" t="s">
        <v>289</v>
      </c>
      <c r="E23" s="4" t="s">
        <v>290</v>
      </c>
      <c r="F23" s="4" t="s">
        <v>291</v>
      </c>
      <c r="G23" s="4" t="s">
        <v>292</v>
      </c>
      <c r="H23" s="4" t="s">
        <v>260</v>
      </c>
      <c r="I23" s="4" t="s">
        <v>220</v>
      </c>
      <c r="J23" s="4" t="s">
        <v>73</v>
      </c>
      <c r="K23" s="4" t="s">
        <v>221</v>
      </c>
      <c r="L23" s="4" t="s">
        <v>75</v>
      </c>
      <c r="M23" s="4"/>
      <c r="N23" s="4" t="s">
        <v>293</v>
      </c>
      <c r="O23" s="4" t="s">
        <v>294</v>
      </c>
      <c r="P23" s="4" t="s">
        <v>295</v>
      </c>
      <c r="Q23" s="4" t="s">
        <v>276</v>
      </c>
      <c r="R23" s="4" t="s">
        <v>80</v>
      </c>
      <c r="S23" s="4" t="s">
        <v>266</v>
      </c>
      <c r="T23" s="4" t="s">
        <v>287</v>
      </c>
      <c r="U23" s="4" t="s">
        <v>296</v>
      </c>
      <c r="V23" s="4" t="s">
        <v>126</v>
      </c>
      <c r="W23" s="4" t="s">
        <v>297</v>
      </c>
      <c r="X23" s="4"/>
      <c r="Y23" s="4" t="s">
        <v>83</v>
      </c>
      <c r="Z23" s="3" t="s">
        <v>269</v>
      </c>
    </row>
    <row r="24" ht="40.5" spans="1:26">
      <c r="A24" s="10">
        <v>23</v>
      </c>
      <c r="B24" s="25">
        <v>46233</v>
      </c>
      <c r="C24" s="25">
        <v>46239.8118055556</v>
      </c>
      <c r="D24" s="11" t="s">
        <v>256</v>
      </c>
      <c r="E24" s="11" t="s">
        <v>257</v>
      </c>
      <c r="F24" s="11" t="s">
        <v>298</v>
      </c>
      <c r="G24" s="11" t="s">
        <v>299</v>
      </c>
      <c r="H24" s="11" t="s">
        <v>260</v>
      </c>
      <c r="I24" s="11" t="s">
        <v>220</v>
      </c>
      <c r="J24" s="11" t="s">
        <v>73</v>
      </c>
      <c r="K24" s="11" t="s">
        <v>221</v>
      </c>
      <c r="L24" s="11" t="s">
        <v>75</v>
      </c>
      <c r="M24" s="11"/>
      <c r="N24" s="11" t="s">
        <v>300</v>
      </c>
      <c r="O24" s="11" t="s">
        <v>301</v>
      </c>
      <c r="P24" s="11" t="s">
        <v>302</v>
      </c>
      <c r="Q24" s="11" t="s">
        <v>276</v>
      </c>
      <c r="R24" s="11" t="s">
        <v>80</v>
      </c>
      <c r="S24" s="11" t="s">
        <v>266</v>
      </c>
      <c r="T24" s="11" t="s">
        <v>287</v>
      </c>
      <c r="U24" s="11" t="s">
        <v>83</v>
      </c>
      <c r="V24" s="11" t="s">
        <v>126</v>
      </c>
      <c r="W24" s="11" t="s">
        <v>303</v>
      </c>
      <c r="X24" s="11"/>
      <c r="Y24" s="11" t="s">
        <v>83</v>
      </c>
      <c r="Z24" s="10" t="s">
        <v>269</v>
      </c>
    </row>
    <row r="25" ht="40.5" spans="1:26">
      <c r="A25" s="3">
        <v>24</v>
      </c>
      <c r="B25" s="26">
        <v>46216</v>
      </c>
      <c r="C25" s="26">
        <v>46239.8118055556</v>
      </c>
      <c r="D25" s="4" t="s">
        <v>256</v>
      </c>
      <c r="E25" s="4" t="s">
        <v>257</v>
      </c>
      <c r="F25" s="4" t="s">
        <v>304</v>
      </c>
      <c r="G25" s="4" t="s">
        <v>305</v>
      </c>
      <c r="H25" s="4" t="s">
        <v>260</v>
      </c>
      <c r="I25" s="4" t="s">
        <v>220</v>
      </c>
      <c r="J25" s="4" t="s">
        <v>73</v>
      </c>
      <c r="K25" s="4" t="s">
        <v>221</v>
      </c>
      <c r="L25" s="4" t="s">
        <v>75</v>
      </c>
      <c r="M25" s="4"/>
      <c r="N25" s="4" t="s">
        <v>306</v>
      </c>
      <c r="O25" s="4" t="s">
        <v>301</v>
      </c>
      <c r="P25" s="4" t="s">
        <v>307</v>
      </c>
      <c r="Q25" s="4" t="s">
        <v>276</v>
      </c>
      <c r="R25" s="4" t="s">
        <v>80</v>
      </c>
      <c r="S25" s="4" t="s">
        <v>266</v>
      </c>
      <c r="T25" s="4" t="s">
        <v>308</v>
      </c>
      <c r="U25" s="4" t="s">
        <v>83</v>
      </c>
      <c r="V25" s="4" t="s">
        <v>126</v>
      </c>
      <c r="W25" s="4" t="s">
        <v>309</v>
      </c>
      <c r="X25" s="4"/>
      <c r="Y25" s="4" t="s">
        <v>83</v>
      </c>
      <c r="Z25" s="3" t="s">
        <v>269</v>
      </c>
    </row>
    <row r="26" ht="40.5" spans="1:26">
      <c r="A26" s="10">
        <v>25</v>
      </c>
      <c r="B26" s="25">
        <v>46232</v>
      </c>
      <c r="C26" s="25">
        <v>46239.8118055556</v>
      </c>
      <c r="D26" s="11" t="s">
        <v>256</v>
      </c>
      <c r="E26" s="11" t="s">
        <v>257</v>
      </c>
      <c r="F26" s="11" t="s">
        <v>310</v>
      </c>
      <c r="G26" s="11" t="s">
        <v>305</v>
      </c>
      <c r="H26" s="11" t="s">
        <v>260</v>
      </c>
      <c r="I26" s="11" t="s">
        <v>220</v>
      </c>
      <c r="J26" s="11" t="s">
        <v>73</v>
      </c>
      <c r="K26" s="11" t="s">
        <v>221</v>
      </c>
      <c r="L26" s="11" t="s">
        <v>75</v>
      </c>
      <c r="M26" s="11"/>
      <c r="N26" s="11" t="s">
        <v>311</v>
      </c>
      <c r="O26" s="11" t="s">
        <v>294</v>
      </c>
      <c r="P26" s="11" t="s">
        <v>307</v>
      </c>
      <c r="Q26" s="11" t="s">
        <v>276</v>
      </c>
      <c r="R26" s="11" t="s">
        <v>80</v>
      </c>
      <c r="S26" s="11" t="s">
        <v>266</v>
      </c>
      <c r="T26" s="11" t="s">
        <v>308</v>
      </c>
      <c r="U26" s="11" t="s">
        <v>83</v>
      </c>
      <c r="V26" s="11" t="s">
        <v>126</v>
      </c>
      <c r="W26" s="11" t="s">
        <v>312</v>
      </c>
      <c r="X26" s="11"/>
      <c r="Y26" s="11" t="s">
        <v>83</v>
      </c>
      <c r="Z26" s="10" t="s">
        <v>269</v>
      </c>
    </row>
    <row r="27" ht="40.5" spans="1:26">
      <c r="A27" s="3">
        <v>26</v>
      </c>
      <c r="B27" s="26">
        <v>46225</v>
      </c>
      <c r="C27" s="26">
        <v>46239.8118055556</v>
      </c>
      <c r="D27" s="4" t="s">
        <v>256</v>
      </c>
      <c r="E27" s="4" t="s">
        <v>257</v>
      </c>
      <c r="F27" s="4" t="s">
        <v>313</v>
      </c>
      <c r="G27" s="4" t="s">
        <v>305</v>
      </c>
      <c r="H27" s="4" t="s">
        <v>260</v>
      </c>
      <c r="I27" s="4" t="s">
        <v>220</v>
      </c>
      <c r="J27" s="4" t="s">
        <v>73</v>
      </c>
      <c r="K27" s="4" t="s">
        <v>221</v>
      </c>
      <c r="L27" s="4" t="s">
        <v>75</v>
      </c>
      <c r="M27" s="4"/>
      <c r="N27" s="4" t="s">
        <v>314</v>
      </c>
      <c r="O27" s="4" t="s">
        <v>301</v>
      </c>
      <c r="P27" s="4" t="s">
        <v>307</v>
      </c>
      <c r="Q27" s="4" t="s">
        <v>276</v>
      </c>
      <c r="R27" s="4" t="s">
        <v>80</v>
      </c>
      <c r="S27" s="4" t="s">
        <v>266</v>
      </c>
      <c r="T27" s="4" t="s">
        <v>308</v>
      </c>
      <c r="U27" s="4" t="s">
        <v>83</v>
      </c>
      <c r="V27" s="4" t="s">
        <v>126</v>
      </c>
      <c r="W27" s="4" t="s">
        <v>309</v>
      </c>
      <c r="X27" s="4"/>
      <c r="Y27" s="4" t="s">
        <v>83</v>
      </c>
      <c r="Z27" s="3" t="s">
        <v>269</v>
      </c>
    </row>
    <row r="28" ht="40.5" spans="1:26">
      <c r="A28" s="10">
        <v>27</v>
      </c>
      <c r="B28" s="25">
        <v>46213</v>
      </c>
      <c r="C28" s="25">
        <v>46239.8118055556</v>
      </c>
      <c r="D28" s="11" t="s">
        <v>256</v>
      </c>
      <c r="E28" s="11" t="s">
        <v>257</v>
      </c>
      <c r="F28" s="11" t="s">
        <v>315</v>
      </c>
      <c r="G28" s="11" t="s">
        <v>299</v>
      </c>
      <c r="H28" s="11" t="s">
        <v>260</v>
      </c>
      <c r="I28" s="11" t="s">
        <v>220</v>
      </c>
      <c r="J28" s="11" t="s">
        <v>73</v>
      </c>
      <c r="K28" s="11" t="s">
        <v>221</v>
      </c>
      <c r="L28" s="11" t="s">
        <v>75</v>
      </c>
      <c r="M28" s="11"/>
      <c r="N28" s="11" t="s">
        <v>316</v>
      </c>
      <c r="O28" s="11" t="s">
        <v>301</v>
      </c>
      <c r="P28" s="11" t="s">
        <v>317</v>
      </c>
      <c r="Q28" s="11" t="s">
        <v>276</v>
      </c>
      <c r="R28" s="11" t="s">
        <v>80</v>
      </c>
      <c r="S28" s="11" t="s">
        <v>266</v>
      </c>
      <c r="T28" s="11" t="s">
        <v>267</v>
      </c>
      <c r="U28" s="11" t="s">
        <v>83</v>
      </c>
      <c r="V28" s="11" t="s">
        <v>126</v>
      </c>
      <c r="W28" s="11" t="s">
        <v>318</v>
      </c>
      <c r="X28" s="11"/>
      <c r="Y28" s="11" t="s">
        <v>83</v>
      </c>
      <c r="Z28" s="10" t="s">
        <v>269</v>
      </c>
    </row>
    <row r="29" ht="54" spans="1:26">
      <c r="A29" s="3">
        <v>28</v>
      </c>
      <c r="B29" s="26">
        <v>46238</v>
      </c>
      <c r="C29" s="26">
        <v>46239.8118055556</v>
      </c>
      <c r="D29" s="4" t="s">
        <v>256</v>
      </c>
      <c r="E29" s="4" t="s">
        <v>257</v>
      </c>
      <c r="F29" s="4" t="s">
        <v>319</v>
      </c>
      <c r="G29" s="4" t="s">
        <v>320</v>
      </c>
      <c r="H29" s="4" t="s">
        <v>260</v>
      </c>
      <c r="I29" s="4" t="s">
        <v>164</v>
      </c>
      <c r="J29" s="4" t="s">
        <v>153</v>
      </c>
      <c r="K29" s="4" t="s">
        <v>133</v>
      </c>
      <c r="L29" s="4" t="s">
        <v>321</v>
      </c>
      <c r="M29" s="4"/>
      <c r="N29" s="4" t="s">
        <v>322</v>
      </c>
      <c r="O29" s="4" t="s">
        <v>323</v>
      </c>
      <c r="P29" s="4" t="s">
        <v>324</v>
      </c>
      <c r="Q29" s="4" t="s">
        <v>325</v>
      </c>
      <c r="R29" s="4" t="s">
        <v>80</v>
      </c>
      <c r="S29" s="4" t="s">
        <v>266</v>
      </c>
      <c r="T29" s="4" t="s">
        <v>326</v>
      </c>
      <c r="U29" s="4" t="s">
        <v>83</v>
      </c>
      <c r="V29" s="4" t="s">
        <v>126</v>
      </c>
      <c r="W29" s="4" t="s">
        <v>327</v>
      </c>
      <c r="X29" s="4"/>
      <c r="Y29" s="4" t="s">
        <v>83</v>
      </c>
      <c r="Z29" s="3" t="s">
        <v>269</v>
      </c>
    </row>
    <row r="30" ht="40.5" spans="1:26">
      <c r="A30" s="10">
        <v>29</v>
      </c>
      <c r="B30" s="25">
        <v>46204</v>
      </c>
      <c r="C30" s="25">
        <v>46239.8118055556</v>
      </c>
      <c r="D30" s="11" t="s">
        <v>256</v>
      </c>
      <c r="E30" s="11" t="s">
        <v>257</v>
      </c>
      <c r="F30" s="11" t="s">
        <v>328</v>
      </c>
      <c r="G30" s="11" t="s">
        <v>329</v>
      </c>
      <c r="H30" s="11" t="s">
        <v>260</v>
      </c>
      <c r="I30" s="11" t="s">
        <v>330</v>
      </c>
      <c r="J30" s="11" t="s">
        <v>73</v>
      </c>
      <c r="K30" s="11" t="s">
        <v>221</v>
      </c>
      <c r="L30" s="11" t="s">
        <v>75</v>
      </c>
      <c r="M30" s="11"/>
      <c r="N30" s="11" t="s">
        <v>331</v>
      </c>
      <c r="O30" s="11" t="s">
        <v>332</v>
      </c>
      <c r="P30" s="11" t="s">
        <v>333</v>
      </c>
      <c r="Q30" s="11" t="s">
        <v>276</v>
      </c>
      <c r="R30" s="11" t="s">
        <v>80</v>
      </c>
      <c r="S30" s="11" t="s">
        <v>266</v>
      </c>
      <c r="T30" s="11" t="s">
        <v>287</v>
      </c>
      <c r="U30" s="11" t="s">
        <v>83</v>
      </c>
      <c r="V30" s="11" t="s">
        <v>126</v>
      </c>
      <c r="W30" s="11" t="s">
        <v>334</v>
      </c>
      <c r="X30" s="11"/>
      <c r="Y30" s="11" t="s">
        <v>83</v>
      </c>
      <c r="Z30" s="10" t="s">
        <v>269</v>
      </c>
    </row>
    <row r="31" ht="40.5" spans="1:26">
      <c r="A31" s="3">
        <v>30</v>
      </c>
      <c r="B31" s="26">
        <v>46204</v>
      </c>
      <c r="C31" s="26">
        <v>46239.8118055556</v>
      </c>
      <c r="D31" s="4" t="s">
        <v>256</v>
      </c>
      <c r="E31" s="4" t="s">
        <v>257</v>
      </c>
      <c r="F31" s="4" t="s">
        <v>335</v>
      </c>
      <c r="G31" s="4" t="s">
        <v>336</v>
      </c>
      <c r="H31" s="4" t="s">
        <v>260</v>
      </c>
      <c r="I31" s="4" t="s">
        <v>337</v>
      </c>
      <c r="J31" s="4" t="s">
        <v>73</v>
      </c>
      <c r="K31" s="4" t="s">
        <v>221</v>
      </c>
      <c r="L31" s="4" t="s">
        <v>75</v>
      </c>
      <c r="M31" s="4"/>
      <c r="N31" s="4" t="s">
        <v>338</v>
      </c>
      <c r="O31" s="4" t="s">
        <v>263</v>
      </c>
      <c r="P31" s="4" t="s">
        <v>339</v>
      </c>
      <c r="Q31" s="4" t="s">
        <v>276</v>
      </c>
      <c r="R31" s="4" t="s">
        <v>80</v>
      </c>
      <c r="S31" s="4" t="s">
        <v>266</v>
      </c>
      <c r="T31" s="4" t="s">
        <v>287</v>
      </c>
      <c r="U31" s="4" t="s">
        <v>83</v>
      </c>
      <c r="V31" s="4" t="s">
        <v>126</v>
      </c>
      <c r="W31" s="4" t="s">
        <v>340</v>
      </c>
      <c r="X31" s="4"/>
      <c r="Y31" s="4" t="s">
        <v>83</v>
      </c>
      <c r="Z31" s="3" t="s">
        <v>269</v>
      </c>
    </row>
    <row r="32" ht="54" spans="1:26">
      <c r="A32" s="10">
        <v>31</v>
      </c>
      <c r="B32" s="25">
        <v>46219</v>
      </c>
      <c r="C32" s="25">
        <v>46239.8118055556</v>
      </c>
      <c r="D32" s="11" t="s">
        <v>341</v>
      </c>
      <c r="E32" s="11" t="s">
        <v>342</v>
      </c>
      <c r="F32" s="11" t="s">
        <v>343</v>
      </c>
      <c r="G32" s="11" t="s">
        <v>271</v>
      </c>
      <c r="H32" s="11" t="s">
        <v>260</v>
      </c>
      <c r="I32" s="11" t="s">
        <v>272</v>
      </c>
      <c r="J32" s="11" t="s">
        <v>73</v>
      </c>
      <c r="K32" s="11" t="s">
        <v>221</v>
      </c>
      <c r="L32" s="11" t="s">
        <v>75</v>
      </c>
      <c r="M32" s="11"/>
      <c r="N32" s="11" t="s">
        <v>344</v>
      </c>
      <c r="O32" s="11" t="s">
        <v>332</v>
      </c>
      <c r="P32" s="11" t="s">
        <v>345</v>
      </c>
      <c r="Q32" s="11" t="s">
        <v>346</v>
      </c>
      <c r="R32" s="11" t="s">
        <v>80</v>
      </c>
      <c r="S32" s="11" t="s">
        <v>266</v>
      </c>
      <c r="T32" s="11" t="s">
        <v>277</v>
      </c>
      <c r="U32" s="11" t="s">
        <v>347</v>
      </c>
      <c r="V32" s="11" t="s">
        <v>126</v>
      </c>
      <c r="W32" s="11" t="s">
        <v>348</v>
      </c>
      <c r="X32" s="11" t="s">
        <v>349</v>
      </c>
      <c r="Y32" s="11" t="s">
        <v>83</v>
      </c>
      <c r="Z32" s="10" t="s">
        <v>269</v>
      </c>
    </row>
    <row r="33" ht="54" spans="1:26">
      <c r="A33" s="3">
        <v>32</v>
      </c>
      <c r="B33" s="26">
        <v>46220</v>
      </c>
      <c r="C33" s="26">
        <v>46239.8118055556</v>
      </c>
      <c r="D33" s="4" t="s">
        <v>341</v>
      </c>
      <c r="E33" s="4" t="s">
        <v>342</v>
      </c>
      <c r="F33" s="4" t="s">
        <v>350</v>
      </c>
      <c r="G33" s="4" t="s">
        <v>271</v>
      </c>
      <c r="H33" s="4" t="s">
        <v>260</v>
      </c>
      <c r="I33" s="4" t="s">
        <v>272</v>
      </c>
      <c r="J33" s="4" t="s">
        <v>73</v>
      </c>
      <c r="K33" s="4" t="s">
        <v>221</v>
      </c>
      <c r="L33" s="4" t="s">
        <v>75</v>
      </c>
      <c r="M33" s="4"/>
      <c r="N33" s="4" t="s">
        <v>351</v>
      </c>
      <c r="O33" s="4" t="s">
        <v>281</v>
      </c>
      <c r="P33" s="4" t="s">
        <v>345</v>
      </c>
      <c r="Q33" s="4" t="s">
        <v>352</v>
      </c>
      <c r="R33" s="4" t="s">
        <v>80</v>
      </c>
      <c r="S33" s="4" t="s">
        <v>266</v>
      </c>
      <c r="T33" s="4" t="s">
        <v>277</v>
      </c>
      <c r="U33" s="4" t="s">
        <v>347</v>
      </c>
      <c r="V33" s="4" t="s">
        <v>126</v>
      </c>
      <c r="W33" s="4" t="s">
        <v>353</v>
      </c>
      <c r="X33" s="4" t="s">
        <v>349</v>
      </c>
      <c r="Y33" s="4" t="s">
        <v>83</v>
      </c>
      <c r="Z33" s="3" t="s">
        <v>269</v>
      </c>
    </row>
    <row r="34" ht="40.5" spans="1:26">
      <c r="A34" s="10">
        <v>33</v>
      </c>
      <c r="B34" s="25">
        <v>46217</v>
      </c>
      <c r="C34" s="25">
        <v>46239.8118055556</v>
      </c>
      <c r="D34" s="11" t="s">
        <v>341</v>
      </c>
      <c r="E34" s="11" t="s">
        <v>342</v>
      </c>
      <c r="F34" s="11" t="s">
        <v>354</v>
      </c>
      <c r="G34" s="11" t="s">
        <v>217</v>
      </c>
      <c r="H34" s="11" t="s">
        <v>260</v>
      </c>
      <c r="I34" s="11" t="s">
        <v>355</v>
      </c>
      <c r="J34" s="11" t="s">
        <v>73</v>
      </c>
      <c r="K34" s="11" t="s">
        <v>356</v>
      </c>
      <c r="L34" s="11" t="s">
        <v>75</v>
      </c>
      <c r="M34" s="11"/>
      <c r="N34" s="11" t="s">
        <v>357</v>
      </c>
      <c r="O34" s="11" t="s">
        <v>301</v>
      </c>
      <c r="P34" s="11" t="s">
        <v>358</v>
      </c>
      <c r="Q34" s="11" t="s">
        <v>359</v>
      </c>
      <c r="R34" s="11" t="s">
        <v>80</v>
      </c>
      <c r="S34" s="11" t="s">
        <v>266</v>
      </c>
      <c r="T34" s="11" t="s">
        <v>267</v>
      </c>
      <c r="U34" s="11" t="s">
        <v>83</v>
      </c>
      <c r="V34" s="11" t="s">
        <v>126</v>
      </c>
      <c r="W34" s="11" t="s">
        <v>360</v>
      </c>
      <c r="X34" s="11"/>
      <c r="Y34" s="11" t="s">
        <v>83</v>
      </c>
      <c r="Z34" s="10" t="s">
        <v>269</v>
      </c>
    </row>
    <row r="35" ht="40.5" spans="1:26">
      <c r="A35" s="3">
        <v>34</v>
      </c>
      <c r="B35" s="26">
        <v>46204</v>
      </c>
      <c r="C35" s="26">
        <v>46239.8118055556</v>
      </c>
      <c r="D35" s="4" t="s">
        <v>341</v>
      </c>
      <c r="E35" s="4" t="s">
        <v>342</v>
      </c>
      <c r="F35" s="4" t="s">
        <v>361</v>
      </c>
      <c r="G35" s="4" t="s">
        <v>217</v>
      </c>
      <c r="H35" s="4" t="s">
        <v>260</v>
      </c>
      <c r="I35" s="4" t="s">
        <v>355</v>
      </c>
      <c r="J35" s="4" t="s">
        <v>73</v>
      </c>
      <c r="K35" s="4" t="s">
        <v>356</v>
      </c>
      <c r="L35" s="4" t="s">
        <v>75</v>
      </c>
      <c r="M35" s="4"/>
      <c r="N35" s="4" t="s">
        <v>362</v>
      </c>
      <c r="O35" s="4" t="s">
        <v>301</v>
      </c>
      <c r="P35" s="4" t="s">
        <v>363</v>
      </c>
      <c r="Q35" s="4" t="s">
        <v>364</v>
      </c>
      <c r="R35" s="4" t="s">
        <v>80</v>
      </c>
      <c r="S35" s="4" t="s">
        <v>266</v>
      </c>
      <c r="T35" s="4" t="s">
        <v>277</v>
      </c>
      <c r="U35" s="4" t="s">
        <v>83</v>
      </c>
      <c r="V35" s="4" t="s">
        <v>126</v>
      </c>
      <c r="W35" s="4" t="s">
        <v>365</v>
      </c>
      <c r="X35" s="4"/>
      <c r="Y35" s="4" t="s">
        <v>83</v>
      </c>
      <c r="Z35" s="3" t="s">
        <v>269</v>
      </c>
    </row>
    <row r="36" ht="67.5" spans="1:26">
      <c r="A36" s="10">
        <v>35</v>
      </c>
      <c r="B36" s="25">
        <v>46229</v>
      </c>
      <c r="C36" s="25">
        <v>46239.8118055556</v>
      </c>
      <c r="D36" s="11" t="s">
        <v>341</v>
      </c>
      <c r="E36" s="11" t="s">
        <v>342</v>
      </c>
      <c r="F36" s="11" t="s">
        <v>366</v>
      </c>
      <c r="G36" s="11" t="s">
        <v>367</v>
      </c>
      <c r="H36" s="11" t="s">
        <v>260</v>
      </c>
      <c r="I36" s="11" t="s">
        <v>368</v>
      </c>
      <c r="J36" s="11" t="s">
        <v>73</v>
      </c>
      <c r="K36" s="11" t="s">
        <v>221</v>
      </c>
      <c r="L36" s="11" t="s">
        <v>75</v>
      </c>
      <c r="M36" s="11"/>
      <c r="N36" s="11" t="s">
        <v>369</v>
      </c>
      <c r="O36" s="11" t="s">
        <v>370</v>
      </c>
      <c r="P36" s="11" t="s">
        <v>371</v>
      </c>
      <c r="Q36" s="11" t="s">
        <v>372</v>
      </c>
      <c r="R36" s="11" t="s">
        <v>80</v>
      </c>
      <c r="S36" s="11" t="s">
        <v>266</v>
      </c>
      <c r="T36" s="11" t="s">
        <v>373</v>
      </c>
      <c r="U36" s="11" t="s">
        <v>83</v>
      </c>
      <c r="V36" s="11" t="s">
        <v>126</v>
      </c>
      <c r="W36" s="11" t="s">
        <v>374</v>
      </c>
      <c r="X36" s="11"/>
      <c r="Y36" s="11" t="s">
        <v>83</v>
      </c>
      <c r="Z36" s="10" t="s">
        <v>269</v>
      </c>
    </row>
    <row r="37" ht="40.5" spans="1:26">
      <c r="A37" s="3">
        <v>36</v>
      </c>
      <c r="B37" s="26">
        <v>46230</v>
      </c>
      <c r="C37" s="26">
        <v>46239.8118055556</v>
      </c>
      <c r="D37" s="4" t="s">
        <v>341</v>
      </c>
      <c r="E37" s="4" t="s">
        <v>342</v>
      </c>
      <c r="F37" s="4" t="s">
        <v>375</v>
      </c>
      <c r="G37" s="4" t="s">
        <v>217</v>
      </c>
      <c r="H37" s="4" t="s">
        <v>260</v>
      </c>
      <c r="I37" s="4" t="s">
        <v>355</v>
      </c>
      <c r="J37" s="4" t="s">
        <v>73</v>
      </c>
      <c r="K37" s="4" t="s">
        <v>356</v>
      </c>
      <c r="L37" s="4" t="s">
        <v>75</v>
      </c>
      <c r="M37" s="4"/>
      <c r="N37" s="4" t="s">
        <v>376</v>
      </c>
      <c r="O37" s="4" t="s">
        <v>377</v>
      </c>
      <c r="P37" s="4" t="s">
        <v>358</v>
      </c>
      <c r="Q37" s="4" t="s">
        <v>378</v>
      </c>
      <c r="R37" s="4" t="s">
        <v>80</v>
      </c>
      <c r="S37" s="4" t="s">
        <v>266</v>
      </c>
      <c r="T37" s="4" t="s">
        <v>267</v>
      </c>
      <c r="U37" s="4" t="s">
        <v>83</v>
      </c>
      <c r="V37" s="4" t="s">
        <v>126</v>
      </c>
      <c r="W37" s="4" t="s">
        <v>379</v>
      </c>
      <c r="X37" s="4"/>
      <c r="Y37" s="4" t="s">
        <v>83</v>
      </c>
      <c r="Z37" s="3" t="s">
        <v>269</v>
      </c>
    </row>
    <row r="38" ht="40.5" spans="1:26">
      <c r="A38" s="10">
        <v>37</v>
      </c>
      <c r="B38" s="25">
        <v>46232</v>
      </c>
      <c r="C38" s="25">
        <v>46239.8118055556</v>
      </c>
      <c r="D38" s="11" t="s">
        <v>341</v>
      </c>
      <c r="E38" s="11" t="s">
        <v>342</v>
      </c>
      <c r="F38" s="11" t="s">
        <v>380</v>
      </c>
      <c r="G38" s="11" t="s">
        <v>381</v>
      </c>
      <c r="H38" s="11" t="s">
        <v>260</v>
      </c>
      <c r="I38" s="11" t="s">
        <v>382</v>
      </c>
      <c r="J38" s="11" t="s">
        <v>73</v>
      </c>
      <c r="K38" s="11" t="s">
        <v>221</v>
      </c>
      <c r="L38" s="11" t="s">
        <v>75</v>
      </c>
      <c r="M38" s="11"/>
      <c r="N38" s="11" t="s">
        <v>383</v>
      </c>
      <c r="O38" s="11" t="s">
        <v>384</v>
      </c>
      <c r="P38" s="11" t="s">
        <v>385</v>
      </c>
      <c r="Q38" s="11" t="s">
        <v>386</v>
      </c>
      <c r="R38" s="11" t="s">
        <v>80</v>
      </c>
      <c r="S38" s="11" t="s">
        <v>266</v>
      </c>
      <c r="T38" s="11" t="s">
        <v>387</v>
      </c>
      <c r="U38" s="11" t="s">
        <v>83</v>
      </c>
      <c r="V38" s="11" t="s">
        <v>126</v>
      </c>
      <c r="W38" s="11" t="s">
        <v>388</v>
      </c>
      <c r="X38" s="11"/>
      <c r="Y38" s="11" t="s">
        <v>83</v>
      </c>
      <c r="Z38" s="10" t="s">
        <v>269</v>
      </c>
    </row>
    <row r="39" ht="27" spans="1:26">
      <c r="A39" s="3">
        <v>38</v>
      </c>
      <c r="B39" s="27">
        <v>46204</v>
      </c>
      <c r="C39" s="27">
        <v>46239.8229166667</v>
      </c>
      <c r="D39" s="3" t="s">
        <v>256</v>
      </c>
      <c r="E39" s="3" t="s">
        <v>257</v>
      </c>
      <c r="F39" s="3" t="s">
        <v>389</v>
      </c>
      <c r="G39" s="3" t="s">
        <v>390</v>
      </c>
      <c r="H39" s="3" t="s">
        <v>391</v>
      </c>
      <c r="I39" s="3" t="s">
        <v>392</v>
      </c>
      <c r="J39" s="3" t="s">
        <v>153</v>
      </c>
      <c r="K39" s="3" t="s">
        <v>356</v>
      </c>
      <c r="L39" s="3" t="s">
        <v>75</v>
      </c>
      <c r="M39" s="3"/>
      <c r="N39" s="3" t="s">
        <v>393</v>
      </c>
      <c r="O39" s="3" t="s">
        <v>394</v>
      </c>
      <c r="P39" s="3" t="s">
        <v>395</v>
      </c>
      <c r="Q39" s="3" t="s">
        <v>276</v>
      </c>
      <c r="R39" s="3" t="s">
        <v>80</v>
      </c>
      <c r="S39" s="3" t="s">
        <v>266</v>
      </c>
      <c r="T39" s="3" t="s">
        <v>396</v>
      </c>
      <c r="U39" s="3" t="s">
        <v>83</v>
      </c>
      <c r="V39" s="3" t="s">
        <v>126</v>
      </c>
      <c r="W39" s="3" t="s">
        <v>397</v>
      </c>
      <c r="X39" s="3"/>
      <c r="Y39" s="3" t="s">
        <v>83</v>
      </c>
      <c r="Z39" s="3" t="s">
        <v>398</v>
      </c>
    </row>
    <row r="40" ht="40.5" spans="1:26">
      <c r="A40" s="13">
        <v>39</v>
      </c>
      <c r="B40" s="29">
        <v>46222.6166666667</v>
      </c>
      <c r="C40" s="29">
        <v>46239.8229166667</v>
      </c>
      <c r="D40" s="13" t="s">
        <v>399</v>
      </c>
      <c r="E40" s="13" t="s">
        <v>400</v>
      </c>
      <c r="F40" s="13" t="s">
        <v>401</v>
      </c>
      <c r="G40" s="13" t="s">
        <v>402</v>
      </c>
      <c r="H40" s="13" t="s">
        <v>403</v>
      </c>
      <c r="I40" s="13" t="s">
        <v>404</v>
      </c>
      <c r="J40" s="13" t="s">
        <v>73</v>
      </c>
      <c r="K40" s="13" t="s">
        <v>405</v>
      </c>
      <c r="L40" s="13" t="s">
        <v>75</v>
      </c>
      <c r="M40" s="13"/>
      <c r="N40" s="13" t="s">
        <v>406</v>
      </c>
      <c r="O40" s="13" t="s">
        <v>407</v>
      </c>
      <c r="P40" s="13" t="s">
        <v>408</v>
      </c>
      <c r="Q40" s="13" t="s">
        <v>409</v>
      </c>
      <c r="R40" s="13" t="s">
        <v>80</v>
      </c>
      <c r="S40" s="13" t="s">
        <v>410</v>
      </c>
      <c r="T40" s="13" t="s">
        <v>411</v>
      </c>
      <c r="U40" s="13" t="s">
        <v>83</v>
      </c>
      <c r="V40" s="13" t="s">
        <v>126</v>
      </c>
      <c r="W40" s="13" t="s">
        <v>412</v>
      </c>
      <c r="X40" s="13"/>
      <c r="Y40" s="13" t="s">
        <v>83</v>
      </c>
      <c r="Z40" s="13" t="s">
        <v>413</v>
      </c>
    </row>
    <row r="41" ht="27" spans="1:26">
      <c r="A41" s="13">
        <v>40</v>
      </c>
      <c r="B41" s="29">
        <v>46239.7104166667</v>
      </c>
      <c r="C41" s="29">
        <v>46239.8229166667</v>
      </c>
      <c r="D41" s="13" t="s">
        <v>399</v>
      </c>
      <c r="E41" s="13" t="s">
        <v>400</v>
      </c>
      <c r="F41" s="13" t="s">
        <v>414</v>
      </c>
      <c r="G41" s="13" t="s">
        <v>415</v>
      </c>
      <c r="H41" s="13" t="s">
        <v>416</v>
      </c>
      <c r="I41" s="13" t="s">
        <v>220</v>
      </c>
      <c r="J41" s="13" t="s">
        <v>73</v>
      </c>
      <c r="K41" s="13" t="s">
        <v>417</v>
      </c>
      <c r="L41" s="13" t="s">
        <v>75</v>
      </c>
      <c r="M41" s="13"/>
      <c r="N41" s="13" t="s">
        <v>418</v>
      </c>
      <c r="O41" s="13" t="s">
        <v>419</v>
      </c>
      <c r="P41" s="13" t="s">
        <v>420</v>
      </c>
      <c r="Q41" s="13" t="s">
        <v>421</v>
      </c>
      <c r="R41" s="13" t="s">
        <v>80</v>
      </c>
      <c r="S41" s="13" t="s">
        <v>422</v>
      </c>
      <c r="T41" s="13" t="s">
        <v>423</v>
      </c>
      <c r="U41" s="13" t="s">
        <v>83</v>
      </c>
      <c r="V41" s="13" t="s">
        <v>126</v>
      </c>
      <c r="W41" s="13" t="s">
        <v>424</v>
      </c>
      <c r="X41" s="13"/>
      <c r="Y41" s="13" t="s">
        <v>83</v>
      </c>
      <c r="Z41" s="13" t="s">
        <v>425</v>
      </c>
    </row>
    <row r="42" ht="27" spans="1:26">
      <c r="A42" s="13">
        <v>41</v>
      </c>
      <c r="B42" s="29">
        <v>46204.6881944444</v>
      </c>
      <c r="C42" s="29">
        <v>46239.8229166667</v>
      </c>
      <c r="D42" s="13" t="s">
        <v>399</v>
      </c>
      <c r="E42" s="13" t="s">
        <v>400</v>
      </c>
      <c r="F42" s="13" t="s">
        <v>426</v>
      </c>
      <c r="G42" s="13" t="s">
        <v>427</v>
      </c>
      <c r="H42" s="13" t="s">
        <v>428</v>
      </c>
      <c r="I42" s="13" t="s">
        <v>429</v>
      </c>
      <c r="J42" s="13" t="s">
        <v>73</v>
      </c>
      <c r="K42" s="13" t="s">
        <v>356</v>
      </c>
      <c r="L42" s="13" t="s">
        <v>75</v>
      </c>
      <c r="M42" s="13"/>
      <c r="N42" s="13" t="s">
        <v>430</v>
      </c>
      <c r="O42" s="13" t="s">
        <v>431</v>
      </c>
      <c r="P42" s="13" t="s">
        <v>432</v>
      </c>
      <c r="Q42" s="13" t="s">
        <v>433</v>
      </c>
      <c r="R42" s="13" t="s">
        <v>80</v>
      </c>
      <c r="S42" s="13" t="s">
        <v>422</v>
      </c>
      <c r="T42" s="13" t="s">
        <v>434</v>
      </c>
      <c r="U42" s="13" t="s">
        <v>83</v>
      </c>
      <c r="V42" s="13" t="s">
        <v>126</v>
      </c>
      <c r="W42" s="13" t="s">
        <v>435</v>
      </c>
      <c r="X42" s="13"/>
      <c r="Y42" s="13" t="s">
        <v>83</v>
      </c>
      <c r="Z42" s="13" t="s">
        <v>436</v>
      </c>
    </row>
    <row r="43" ht="54" spans="1:26">
      <c r="A43" s="13">
        <v>42</v>
      </c>
      <c r="B43" s="29">
        <v>46207</v>
      </c>
      <c r="C43" s="29">
        <v>46239.8993055556</v>
      </c>
      <c r="D43" s="13" t="s">
        <v>437</v>
      </c>
      <c r="E43" s="13" t="s">
        <v>438</v>
      </c>
      <c r="F43" s="13" t="s">
        <v>439</v>
      </c>
      <c r="G43" s="13" t="s">
        <v>440</v>
      </c>
      <c r="H43" s="13" t="s">
        <v>441</v>
      </c>
      <c r="I43" s="13" t="s">
        <v>442</v>
      </c>
      <c r="J43" s="13" t="s">
        <v>153</v>
      </c>
      <c r="K43" s="13" t="s">
        <v>443</v>
      </c>
      <c r="L43" s="13" t="s">
        <v>444</v>
      </c>
      <c r="M43" s="13"/>
      <c r="N43" s="13" t="s">
        <v>445</v>
      </c>
      <c r="O43" s="13" t="s">
        <v>446</v>
      </c>
      <c r="P43" s="13" t="s">
        <v>447</v>
      </c>
      <c r="Q43" s="13" t="s">
        <v>448</v>
      </c>
      <c r="R43" s="13" t="s">
        <v>80</v>
      </c>
      <c r="S43" s="13" t="s">
        <v>449</v>
      </c>
      <c r="T43" s="13" t="s">
        <v>450</v>
      </c>
      <c r="U43" s="13" t="s">
        <v>83</v>
      </c>
      <c r="V43" s="13" t="s">
        <v>126</v>
      </c>
      <c r="W43" s="13" t="s">
        <v>451</v>
      </c>
      <c r="X43" s="13"/>
      <c r="Y43" s="13" t="s">
        <v>83</v>
      </c>
      <c r="Z43" s="13" t="s">
        <v>452</v>
      </c>
    </row>
    <row r="44" ht="54" spans="1:26">
      <c r="A44" s="3">
        <v>43</v>
      </c>
      <c r="B44" s="27">
        <v>46224.71875</v>
      </c>
      <c r="C44" s="27">
        <v>46241.2944444444</v>
      </c>
      <c r="D44" s="3" t="s">
        <v>185</v>
      </c>
      <c r="E44" s="3" t="s">
        <v>453</v>
      </c>
      <c r="F44" s="3" t="s">
        <v>454</v>
      </c>
      <c r="G44" s="3" t="s">
        <v>455</v>
      </c>
      <c r="H44" s="3" t="s">
        <v>90</v>
      </c>
      <c r="I44" s="3" t="s">
        <v>456</v>
      </c>
      <c r="J44" s="3" t="s">
        <v>153</v>
      </c>
      <c r="K44" s="3" t="s">
        <v>457</v>
      </c>
      <c r="L44" s="3" t="s">
        <v>75</v>
      </c>
      <c r="M44" s="3"/>
      <c r="N44" s="3" t="s">
        <v>458</v>
      </c>
      <c r="O44" s="3" t="s">
        <v>459</v>
      </c>
      <c r="P44" s="3" t="s">
        <v>460</v>
      </c>
      <c r="Q44" s="3" t="s">
        <v>461</v>
      </c>
      <c r="R44" s="3" t="s">
        <v>80</v>
      </c>
      <c r="S44" s="3" t="s">
        <v>97</v>
      </c>
      <c r="T44" s="3" t="s">
        <v>462</v>
      </c>
      <c r="U44" s="3" t="s">
        <v>83</v>
      </c>
      <c r="V44" s="3" t="s">
        <v>83</v>
      </c>
      <c r="W44" s="3" t="s">
        <v>463</v>
      </c>
      <c r="X44" s="3"/>
      <c r="Y44" s="3" t="s">
        <v>83</v>
      </c>
      <c r="Z44" s="3" t="s">
        <v>464</v>
      </c>
    </row>
    <row r="45" ht="40.5" spans="1:26">
      <c r="A45" s="3">
        <v>44</v>
      </c>
      <c r="B45" s="27">
        <v>46205.48125</v>
      </c>
      <c r="C45" s="27">
        <v>46241.2944444444</v>
      </c>
      <c r="D45" s="3" t="s">
        <v>185</v>
      </c>
      <c r="E45" s="3" t="s">
        <v>453</v>
      </c>
      <c r="F45" s="3" t="s">
        <v>465</v>
      </c>
      <c r="G45" s="3" t="s">
        <v>455</v>
      </c>
      <c r="H45" s="3" t="s">
        <v>466</v>
      </c>
      <c r="I45" s="3" t="s">
        <v>467</v>
      </c>
      <c r="J45" s="3" t="s">
        <v>153</v>
      </c>
      <c r="K45" s="3" t="s">
        <v>468</v>
      </c>
      <c r="L45" s="3" t="s">
        <v>75</v>
      </c>
      <c r="M45" s="3"/>
      <c r="N45" s="3" t="s">
        <v>469</v>
      </c>
      <c r="O45" s="3" t="s">
        <v>470</v>
      </c>
      <c r="P45" s="3" t="s">
        <v>471</v>
      </c>
      <c r="Q45" s="3" t="s">
        <v>461</v>
      </c>
      <c r="R45" s="3" t="s">
        <v>80</v>
      </c>
      <c r="S45" s="3" t="s">
        <v>266</v>
      </c>
      <c r="T45" s="3" t="s">
        <v>472</v>
      </c>
      <c r="U45" s="3" t="s">
        <v>83</v>
      </c>
      <c r="V45" s="3" t="s">
        <v>83</v>
      </c>
      <c r="W45" s="3" t="s">
        <v>473</v>
      </c>
      <c r="X45" s="3"/>
      <c r="Y45" s="3" t="s">
        <v>83</v>
      </c>
      <c r="Z45" s="3" t="s">
        <v>474</v>
      </c>
    </row>
    <row r="46" ht="27" spans="1:26">
      <c r="A46" s="3">
        <v>45</v>
      </c>
      <c r="B46" s="27">
        <v>46216.9027777778</v>
      </c>
      <c r="C46" s="27">
        <v>46241.2944444444</v>
      </c>
      <c r="D46" s="3" t="s">
        <v>185</v>
      </c>
      <c r="E46" s="3" t="s">
        <v>475</v>
      </c>
      <c r="F46" s="3" t="s">
        <v>476</v>
      </c>
      <c r="G46" s="3" t="s">
        <v>477</v>
      </c>
      <c r="H46" s="3" t="s">
        <v>90</v>
      </c>
      <c r="I46" s="3" t="s">
        <v>478</v>
      </c>
      <c r="J46" s="3" t="s">
        <v>153</v>
      </c>
      <c r="K46" s="3" t="s">
        <v>221</v>
      </c>
      <c r="L46" s="3" t="s">
        <v>75</v>
      </c>
      <c r="M46" s="3"/>
      <c r="N46" s="3" t="s">
        <v>479</v>
      </c>
      <c r="O46" s="3" t="s">
        <v>480</v>
      </c>
      <c r="P46" s="3" t="s">
        <v>481</v>
      </c>
      <c r="Q46" s="3" t="s">
        <v>461</v>
      </c>
      <c r="R46" s="3" t="s">
        <v>80</v>
      </c>
      <c r="S46" s="3" t="s">
        <v>97</v>
      </c>
      <c r="T46" s="3" t="s">
        <v>482</v>
      </c>
      <c r="U46" s="3" t="s">
        <v>83</v>
      </c>
      <c r="V46" s="3" t="s">
        <v>83</v>
      </c>
      <c r="W46" s="3" t="s">
        <v>483</v>
      </c>
      <c r="X46" s="3"/>
      <c r="Y46" s="3" t="s">
        <v>83</v>
      </c>
      <c r="Z46" s="3" t="s">
        <v>484</v>
      </c>
    </row>
    <row r="47" ht="40.5" spans="1:26">
      <c r="A47" s="3">
        <v>46</v>
      </c>
      <c r="B47" s="27">
        <v>46233.9576388889</v>
      </c>
      <c r="C47" s="27">
        <v>46241.2944444444</v>
      </c>
      <c r="D47" s="3" t="s">
        <v>185</v>
      </c>
      <c r="E47" s="3" t="s">
        <v>475</v>
      </c>
      <c r="F47" s="3" t="s">
        <v>485</v>
      </c>
      <c r="G47" s="3" t="s">
        <v>477</v>
      </c>
      <c r="H47" s="3" t="s">
        <v>90</v>
      </c>
      <c r="I47" s="3" t="s">
        <v>478</v>
      </c>
      <c r="J47" s="3" t="s">
        <v>153</v>
      </c>
      <c r="K47" s="3" t="s">
        <v>221</v>
      </c>
      <c r="L47" s="3" t="s">
        <v>75</v>
      </c>
      <c r="M47" s="3"/>
      <c r="N47" s="3" t="s">
        <v>486</v>
      </c>
      <c r="O47" s="3" t="s">
        <v>487</v>
      </c>
      <c r="P47" s="3" t="s">
        <v>488</v>
      </c>
      <c r="Q47" s="3" t="s">
        <v>461</v>
      </c>
      <c r="R47" s="3" t="s">
        <v>80</v>
      </c>
      <c r="S47" s="3" t="s">
        <v>97</v>
      </c>
      <c r="T47" s="3" t="s">
        <v>489</v>
      </c>
      <c r="U47" s="3" t="s">
        <v>83</v>
      </c>
      <c r="V47" s="3" t="s">
        <v>83</v>
      </c>
      <c r="W47" s="3" t="s">
        <v>490</v>
      </c>
      <c r="X47" s="3"/>
      <c r="Y47" s="3" t="s">
        <v>83</v>
      </c>
      <c r="Z47" s="3" t="s">
        <v>484</v>
      </c>
    </row>
    <row r="48" ht="40.5" spans="1:26">
      <c r="A48" s="3">
        <v>47</v>
      </c>
      <c r="B48" s="27">
        <v>46204.7694444444</v>
      </c>
      <c r="C48" s="27">
        <v>46241.2944444444</v>
      </c>
      <c r="D48" s="3" t="s">
        <v>185</v>
      </c>
      <c r="E48" s="3" t="s">
        <v>491</v>
      </c>
      <c r="F48" s="3" t="s">
        <v>492</v>
      </c>
      <c r="G48" s="3" t="s">
        <v>493</v>
      </c>
      <c r="H48" s="3" t="s">
        <v>466</v>
      </c>
      <c r="I48" s="3" t="s">
        <v>494</v>
      </c>
      <c r="J48" s="3" t="s">
        <v>153</v>
      </c>
      <c r="K48" s="3" t="s">
        <v>221</v>
      </c>
      <c r="L48" s="3" t="s">
        <v>75</v>
      </c>
      <c r="M48" s="3"/>
      <c r="N48" s="3" t="s">
        <v>495</v>
      </c>
      <c r="O48" s="3" t="s">
        <v>496</v>
      </c>
      <c r="P48" s="3" t="s">
        <v>497</v>
      </c>
      <c r="Q48" s="3" t="s">
        <v>461</v>
      </c>
      <c r="R48" s="3" t="s">
        <v>80</v>
      </c>
      <c r="S48" s="3" t="s">
        <v>266</v>
      </c>
      <c r="T48" s="3" t="s">
        <v>498</v>
      </c>
      <c r="U48" s="3" t="s">
        <v>83</v>
      </c>
      <c r="V48" s="3" t="s">
        <v>83</v>
      </c>
      <c r="W48" s="3" t="s">
        <v>499</v>
      </c>
      <c r="X48" s="3"/>
      <c r="Y48" s="3" t="s">
        <v>83</v>
      </c>
      <c r="Z48" s="3" t="s">
        <v>500</v>
      </c>
    </row>
    <row r="49" spans="2:3">
      <c r="B49" s="30"/>
      <c r="C49" s="30"/>
    </row>
    <row r="50" spans="2:3">
      <c r="B50" s="30"/>
      <c r="C50" s="30"/>
    </row>
    <row r="51" spans="2:3">
      <c r="B51" s="30"/>
      <c r="C51" s="30"/>
    </row>
    <row r="52" spans="2:3">
      <c r="B52" s="30"/>
      <c r="C52" s="30"/>
    </row>
    <row r="53" spans="2:3">
      <c r="B53" s="30"/>
      <c r="C53" s="30"/>
    </row>
    <row r="54" spans="2:3">
      <c r="B54" s="30"/>
      <c r="C54" s="30"/>
    </row>
    <row r="55" spans="2:3">
      <c r="B55" s="30"/>
      <c r="C55" s="30"/>
    </row>
    <row r="56" spans="2:3">
      <c r="B56" s="30"/>
      <c r="C56" s="30"/>
    </row>
    <row r="57" spans="2:3">
      <c r="B57" s="30"/>
      <c r="C57" s="30"/>
    </row>
    <row r="58" spans="2:3">
      <c r="B58" s="30"/>
      <c r="C58" s="30"/>
    </row>
    <row r="59" spans="2:3">
      <c r="B59" s="30"/>
      <c r="C59" s="30"/>
    </row>
    <row r="60" spans="2:3">
      <c r="B60" s="30"/>
      <c r="C60" s="30"/>
    </row>
    <row r="61" spans="2:3">
      <c r="B61" s="30"/>
      <c r="C61" s="30"/>
    </row>
    <row r="62" spans="2:3">
      <c r="B62" s="30"/>
      <c r="C62" s="30"/>
    </row>
    <row r="63" spans="2:3">
      <c r="B63" s="30"/>
      <c r="C63" s="30"/>
    </row>
    <row r="64" spans="2:3">
      <c r="B64" s="30"/>
      <c r="C64" s="30"/>
    </row>
    <row r="65" spans="2:3">
      <c r="B65" s="30"/>
      <c r="C65" s="30"/>
    </row>
    <row r="66" spans="2:3">
      <c r="B66" s="30"/>
      <c r="C66" s="30"/>
    </row>
    <row r="67" spans="2:3">
      <c r="B67" s="30"/>
      <c r="C67" s="30"/>
    </row>
    <row r="68" spans="2:3">
      <c r="B68" s="30"/>
      <c r="C68" s="30"/>
    </row>
    <row r="69" spans="2:3">
      <c r="B69" s="30"/>
      <c r="C69" s="30"/>
    </row>
    <row r="70" spans="2:3">
      <c r="B70" s="30"/>
      <c r="C70" s="30"/>
    </row>
    <row r="71" spans="2:3">
      <c r="B71" s="30"/>
      <c r="C71" s="30"/>
    </row>
    <row r="72" spans="2:3">
      <c r="B72" s="30"/>
      <c r="C72" s="30"/>
    </row>
    <row r="73" spans="2:3">
      <c r="B73" s="30"/>
      <c r="C73" s="30"/>
    </row>
    <row r="74" spans="2:3">
      <c r="B74" s="30"/>
      <c r="C74" s="30"/>
    </row>
    <row r="75" spans="2:3">
      <c r="B75" s="30"/>
      <c r="C75" s="30"/>
    </row>
    <row r="76" spans="2:3">
      <c r="B76" s="30"/>
      <c r="C76" s="30"/>
    </row>
    <row r="77" spans="2:3">
      <c r="B77" s="30"/>
      <c r="C77" s="30"/>
    </row>
    <row r="78" spans="2:3">
      <c r="B78" s="30"/>
      <c r="C78" s="30"/>
    </row>
    <row r="79" spans="2:3">
      <c r="B79" s="30"/>
      <c r="C79" s="30"/>
    </row>
    <row r="80" spans="2:3">
      <c r="B80" s="30"/>
      <c r="C80" s="30"/>
    </row>
    <row r="81" spans="2:3">
      <c r="B81" s="30"/>
      <c r="C81" s="30"/>
    </row>
    <row r="82" spans="2:3">
      <c r="B82" s="30"/>
      <c r="C82" s="30"/>
    </row>
    <row r="83" spans="2:3">
      <c r="B83" s="30"/>
      <c r="C83" s="30"/>
    </row>
    <row r="84" spans="2:3">
      <c r="B84" s="30"/>
      <c r="C84" s="30"/>
    </row>
    <row r="85" spans="2:3">
      <c r="B85" s="30"/>
      <c r="C85" s="30"/>
    </row>
    <row r="86" spans="2:3">
      <c r="B86" s="30"/>
      <c r="C86" s="30"/>
    </row>
    <row r="87" spans="2:3">
      <c r="B87" s="30"/>
      <c r="C87" s="30"/>
    </row>
    <row r="88" spans="2:3">
      <c r="B88" s="30"/>
      <c r="C88" s="30"/>
    </row>
    <row r="89" spans="2:3">
      <c r="B89" s="30"/>
      <c r="C89" s="30"/>
    </row>
    <row r="90" spans="2:3">
      <c r="B90" s="30"/>
      <c r="C90" s="30"/>
    </row>
    <row r="91" spans="2:3">
      <c r="B91" s="30"/>
      <c r="C91" s="30"/>
    </row>
    <row r="92" spans="2:3">
      <c r="B92" s="30"/>
      <c r="C92" s="30"/>
    </row>
    <row r="93" spans="2:3">
      <c r="B93" s="30"/>
      <c r="C93" s="30"/>
    </row>
    <row r="94" spans="2:3">
      <c r="B94" s="30"/>
      <c r="C94" s="30"/>
    </row>
    <row r="95" spans="2:3">
      <c r="B95" s="30"/>
      <c r="C95" s="30"/>
    </row>
    <row r="96" spans="2:3">
      <c r="B96" s="30"/>
      <c r="C96" s="30"/>
    </row>
    <row r="97" spans="2:3">
      <c r="B97" s="30"/>
      <c r="C97" s="30"/>
    </row>
    <row r="98" spans="2:3">
      <c r="B98" s="30"/>
      <c r="C98" s="30"/>
    </row>
    <row r="99" spans="2:3">
      <c r="B99" s="30"/>
      <c r="C99" s="30"/>
    </row>
    <row r="100" spans="2:3">
      <c r="B100" s="30"/>
      <c r="C100" s="30"/>
    </row>
    <row r="101" spans="2:3">
      <c r="B101" s="30"/>
      <c r="C101" s="30"/>
    </row>
    <row r="102" spans="2:3">
      <c r="B102" s="30"/>
      <c r="C102" s="30"/>
    </row>
    <row r="103" spans="2:3">
      <c r="B103" s="30"/>
      <c r="C103" s="30"/>
    </row>
    <row r="104" spans="2:3">
      <c r="B104" s="30"/>
      <c r="C104" s="30"/>
    </row>
    <row r="105" spans="2:3">
      <c r="B105" s="30"/>
      <c r="C105" s="30"/>
    </row>
    <row r="106" spans="2:3">
      <c r="B106" s="30"/>
      <c r="C106" s="30"/>
    </row>
    <row r="107" spans="2:3">
      <c r="B107" s="30"/>
      <c r="C107" s="30"/>
    </row>
    <row r="108" spans="2:3">
      <c r="B108" s="30"/>
      <c r="C108" s="30"/>
    </row>
    <row r="109" spans="2:3">
      <c r="B109" s="30"/>
      <c r="C109" s="30"/>
    </row>
    <row r="110" spans="2:3">
      <c r="B110" s="30"/>
      <c r="C110" s="30"/>
    </row>
    <row r="111" spans="2:3">
      <c r="B111" s="30"/>
      <c r="C111" s="30"/>
    </row>
    <row r="112" spans="2:3">
      <c r="B112" s="30"/>
      <c r="C112" s="30"/>
    </row>
    <row r="113" spans="2:3">
      <c r="B113" s="30"/>
      <c r="C113" s="30"/>
    </row>
    <row r="114" spans="2:3">
      <c r="B114" s="30"/>
      <c r="C114" s="30"/>
    </row>
    <row r="115" spans="2:3">
      <c r="B115" s="30"/>
      <c r="C115" s="30"/>
    </row>
    <row r="116" spans="2:3">
      <c r="B116" s="30"/>
      <c r="C116" s="30"/>
    </row>
    <row r="117" spans="2:3">
      <c r="B117" s="30"/>
      <c r="C117" s="30"/>
    </row>
    <row r="118" spans="2:3">
      <c r="B118" s="30"/>
      <c r="C118" s="30"/>
    </row>
    <row r="119" spans="2:3">
      <c r="B119" s="30"/>
      <c r="C119" s="30"/>
    </row>
    <row r="120" spans="2:3">
      <c r="B120" s="30"/>
      <c r="C120" s="30"/>
    </row>
    <row r="121" spans="2:3">
      <c r="B121" s="30"/>
      <c r="C121" s="30"/>
    </row>
    <row r="122" spans="2:3">
      <c r="B122" s="30"/>
      <c r="C122" s="30"/>
    </row>
    <row r="123" spans="2:3">
      <c r="B123" s="30"/>
      <c r="C123" s="30"/>
    </row>
    <row r="124" spans="2:3">
      <c r="B124" s="30"/>
      <c r="C124" s="30"/>
    </row>
    <row r="125" spans="2:3">
      <c r="B125" s="30"/>
      <c r="C125" s="30"/>
    </row>
    <row r="126" spans="2:3">
      <c r="B126" s="30"/>
      <c r="C126" s="30"/>
    </row>
    <row r="127" spans="2:3">
      <c r="B127" s="30"/>
      <c r="C127" s="30"/>
    </row>
    <row r="128" spans="2:3">
      <c r="B128" s="30"/>
      <c r="C128" s="30"/>
    </row>
    <row r="129" spans="2:3">
      <c r="B129" s="30"/>
      <c r="C129" s="30"/>
    </row>
    <row r="130" spans="2:3">
      <c r="B130" s="30"/>
      <c r="C130" s="30"/>
    </row>
    <row r="131" spans="2:3">
      <c r="B131" s="30"/>
      <c r="C131" s="30"/>
    </row>
    <row r="132" spans="2:3">
      <c r="B132" s="30"/>
      <c r="C132" s="30"/>
    </row>
    <row r="133" spans="2:3">
      <c r="B133" s="30"/>
      <c r="C133" s="30"/>
    </row>
    <row r="134" spans="2:3">
      <c r="B134" s="30"/>
      <c r="C134" s="30"/>
    </row>
    <row r="135" spans="2:3">
      <c r="B135" s="30"/>
      <c r="C135" s="30"/>
    </row>
    <row r="136" spans="2:3">
      <c r="B136" s="30"/>
      <c r="C136" s="30"/>
    </row>
    <row r="137" spans="2:3">
      <c r="B137" s="30"/>
      <c r="C137" s="30"/>
    </row>
    <row r="138" spans="2:3">
      <c r="B138" s="30"/>
      <c r="C138" s="30"/>
    </row>
    <row r="139" spans="2:3">
      <c r="B139" s="30"/>
      <c r="C139" s="30"/>
    </row>
    <row r="140" spans="2:3">
      <c r="B140" s="30"/>
      <c r="C140" s="30"/>
    </row>
    <row r="141" spans="2:3">
      <c r="B141" s="30"/>
      <c r="C141" s="30"/>
    </row>
    <row r="142" spans="2:3">
      <c r="B142" s="30"/>
      <c r="C142" s="30"/>
    </row>
    <row r="143" spans="2:3">
      <c r="B143" s="30"/>
      <c r="C143" s="30"/>
    </row>
    <row r="144" spans="2:3">
      <c r="B144" s="30"/>
      <c r="C144" s="30"/>
    </row>
    <row r="145" spans="2:3">
      <c r="B145" s="30"/>
      <c r="C145" s="30"/>
    </row>
    <row r="146" spans="2:3">
      <c r="B146" s="30"/>
      <c r="C146" s="30"/>
    </row>
    <row r="147" spans="2:3">
      <c r="B147" s="30"/>
      <c r="C147" s="30"/>
    </row>
    <row r="148" spans="2:3">
      <c r="B148" s="30"/>
      <c r="C148" s="30"/>
    </row>
    <row r="149" spans="2:3">
      <c r="B149" s="30"/>
      <c r="C149" s="30"/>
    </row>
    <row r="150" spans="2:3">
      <c r="B150" s="30"/>
      <c r="C150" s="30"/>
    </row>
    <row r="151" spans="2:3">
      <c r="B151" s="30"/>
      <c r="C151" s="30"/>
    </row>
    <row r="152" spans="2:3">
      <c r="B152" s="30"/>
      <c r="C152" s="30"/>
    </row>
    <row r="153" spans="2:3">
      <c r="B153" s="30"/>
      <c r="C153" s="30"/>
    </row>
    <row r="154" spans="2:3">
      <c r="B154" s="30"/>
      <c r="C154" s="30"/>
    </row>
    <row r="155" spans="2:3">
      <c r="B155" s="30"/>
      <c r="C155" s="30"/>
    </row>
    <row r="156" spans="2:3">
      <c r="B156" s="30"/>
      <c r="C156" s="30"/>
    </row>
    <row r="157" spans="2:3">
      <c r="B157" s="30"/>
      <c r="C157" s="30"/>
    </row>
    <row r="158" spans="2:3">
      <c r="B158" s="30"/>
      <c r="C158" s="30"/>
    </row>
    <row r="159" spans="2:3">
      <c r="B159" s="30"/>
      <c r="C159" s="30"/>
    </row>
    <row r="160" spans="2:3">
      <c r="B160" s="30"/>
      <c r="C160" s="30"/>
    </row>
    <row r="161" spans="2:3">
      <c r="B161" s="30"/>
      <c r="C161" s="30"/>
    </row>
    <row r="162" spans="2:3">
      <c r="B162" s="30"/>
      <c r="C162" s="30"/>
    </row>
    <row r="163" spans="2:3">
      <c r="B163" s="30"/>
      <c r="C163" s="30"/>
    </row>
    <row r="164" spans="2:3">
      <c r="B164" s="30"/>
      <c r="C164" s="30"/>
    </row>
    <row r="165" spans="2:3">
      <c r="B165" s="30"/>
      <c r="C165" s="30"/>
    </row>
    <row r="166" spans="2:3">
      <c r="B166" s="30"/>
      <c r="C166" s="30"/>
    </row>
    <row r="167" spans="2:3">
      <c r="B167" s="30"/>
      <c r="C167" s="30"/>
    </row>
    <row r="168" spans="2:3">
      <c r="B168" s="30"/>
      <c r="C168" s="30"/>
    </row>
    <row r="169" spans="2:3">
      <c r="B169" s="30"/>
      <c r="C169" s="30"/>
    </row>
    <row r="170" spans="2:3">
      <c r="B170" s="30"/>
      <c r="C170" s="30"/>
    </row>
    <row r="171" spans="2:3">
      <c r="B171" s="30"/>
      <c r="C171" s="30"/>
    </row>
    <row r="172" spans="2:3">
      <c r="B172" s="30"/>
      <c r="C172" s="30"/>
    </row>
    <row r="173" spans="2:3">
      <c r="B173" s="30"/>
      <c r="C173" s="30"/>
    </row>
    <row r="174" spans="2:3">
      <c r="B174" s="30"/>
      <c r="C174" s="30"/>
    </row>
    <row r="175" spans="2:3">
      <c r="B175" s="30"/>
      <c r="C175" s="30"/>
    </row>
    <row r="176" spans="2:3">
      <c r="B176" s="30"/>
      <c r="C176" s="30"/>
    </row>
    <row r="177" spans="2:3">
      <c r="B177" s="30"/>
      <c r="C177" s="30"/>
    </row>
    <row r="178" spans="2:3">
      <c r="B178" s="30"/>
      <c r="C178" s="30"/>
    </row>
    <row r="179" spans="2:3">
      <c r="B179" s="30"/>
      <c r="C179" s="30"/>
    </row>
    <row r="180" spans="2:3">
      <c r="B180" s="30"/>
      <c r="C180" s="30"/>
    </row>
    <row r="181" spans="2:3">
      <c r="B181" s="30"/>
      <c r="C181" s="30"/>
    </row>
    <row r="182" spans="2:3">
      <c r="B182" s="30"/>
      <c r="C182" s="30"/>
    </row>
    <row r="183" spans="2:3">
      <c r="B183" s="30"/>
      <c r="C183" s="30"/>
    </row>
    <row r="184" spans="2:3">
      <c r="B184" s="30"/>
      <c r="C184" s="30"/>
    </row>
    <row r="185" spans="2:3">
      <c r="B185" s="30"/>
      <c r="C185" s="30"/>
    </row>
    <row r="186" spans="2:3">
      <c r="B186" s="30"/>
      <c r="C186" s="30"/>
    </row>
    <row r="187" spans="2:3">
      <c r="B187" s="30"/>
      <c r="C187" s="30"/>
    </row>
    <row r="188" spans="2:3">
      <c r="B188" s="30"/>
      <c r="C188" s="30"/>
    </row>
    <row r="189" spans="2:3">
      <c r="B189" s="30"/>
      <c r="C189" s="30"/>
    </row>
    <row r="190" spans="2:3">
      <c r="B190" s="30"/>
      <c r="C190" s="30"/>
    </row>
    <row r="191" spans="2:3">
      <c r="B191" s="30"/>
      <c r="C191" s="30"/>
    </row>
    <row r="192" spans="2:3">
      <c r="B192" s="30"/>
      <c r="C192" s="30"/>
    </row>
    <row r="193" spans="2:3">
      <c r="B193" s="30"/>
      <c r="C193" s="30"/>
    </row>
    <row r="194" spans="2:3">
      <c r="B194" s="30"/>
      <c r="C194" s="30"/>
    </row>
    <row r="195" spans="2:3">
      <c r="B195" s="30"/>
      <c r="C195" s="30"/>
    </row>
    <row r="196" spans="2:3">
      <c r="B196" s="30"/>
      <c r="C196" s="30"/>
    </row>
    <row r="197" spans="2:3">
      <c r="B197" s="30"/>
      <c r="C197" s="30"/>
    </row>
    <row r="198" spans="2:3">
      <c r="B198" s="30"/>
      <c r="C198" s="30"/>
    </row>
    <row r="199" spans="2:3">
      <c r="B199" s="30"/>
      <c r="C199" s="30"/>
    </row>
    <row r="200" spans="2:3">
      <c r="B200" s="30"/>
      <c r="C200" s="30"/>
    </row>
  </sheetData>
  <conditionalFormatting sqref="V2:V14">
    <cfRule type="expression" dxfId="0" priority="1">
      <formula>V2="是"</formula>
    </cfRule>
  </conditionalFormatting>
  <conditionalFormatting sqref="Y2:Y14">
    <cfRule type="expression" dxfId="1" priority="2">
      <formula>Y2="是"</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0"/>
  <sheetViews>
    <sheetView tabSelected="1" topLeftCell="D1" workbookViewId="0">
      <selection activeCell="A1" sqref="A1"/>
    </sheetView>
  </sheetViews>
  <sheetFormatPr defaultColWidth="9" defaultRowHeight="13.5"/>
  <cols>
    <col min="1" max="1" width="7" customWidth="1"/>
    <col min="2" max="2" width="31" customWidth="1"/>
    <col min="3" max="3" width="9" customWidth="1"/>
    <col min="4" max="4" width="19" customWidth="1"/>
    <col min="5" max="5" width="28" customWidth="1"/>
    <col min="6" max="6" width="42" customWidth="1"/>
    <col min="7" max="7" width="15" customWidth="1"/>
    <col min="8" max="8" width="48" customWidth="1"/>
    <col min="9" max="9" width="52" customWidth="1"/>
    <col min="10" max="10" width="30" customWidth="1"/>
    <col min="11" max="11" width="14" customWidth="1"/>
    <col min="12" max="12" width="46" customWidth="1"/>
  </cols>
  <sheetData>
    <row r="1" ht="34" customHeight="1" spans="1:12">
      <c r="A1" s="2" t="s">
        <v>42</v>
      </c>
      <c r="B1" s="2" t="s">
        <v>501</v>
      </c>
      <c r="C1" s="2" t="s">
        <v>51</v>
      </c>
      <c r="D1" s="2" t="s">
        <v>52</v>
      </c>
      <c r="E1" s="2" t="s">
        <v>502</v>
      </c>
      <c r="F1" s="2" t="s">
        <v>503</v>
      </c>
      <c r="G1" s="2" t="s">
        <v>43</v>
      </c>
      <c r="H1" s="2" t="s">
        <v>504</v>
      </c>
      <c r="I1" s="2" t="s">
        <v>58</v>
      </c>
      <c r="J1" s="2" t="s">
        <v>505</v>
      </c>
      <c r="K1" s="2" t="s">
        <v>63</v>
      </c>
      <c r="L1" s="2" t="s">
        <v>506</v>
      </c>
    </row>
    <row r="2" ht="27" spans="1:12">
      <c r="A2" s="24">
        <v>1</v>
      </c>
      <c r="B2" s="11" t="s">
        <v>72</v>
      </c>
      <c r="C2" s="11" t="s">
        <v>73</v>
      </c>
      <c r="D2" s="11" t="s">
        <v>74</v>
      </c>
      <c r="E2" s="11" t="s">
        <v>69</v>
      </c>
      <c r="F2" s="11" t="s">
        <v>76</v>
      </c>
      <c r="G2" s="40">
        <v>46204</v>
      </c>
      <c r="H2" s="11" t="s">
        <v>78</v>
      </c>
      <c r="I2" s="11" t="s">
        <v>79</v>
      </c>
      <c r="J2" s="11" t="s">
        <v>507</v>
      </c>
      <c r="K2" s="11" t="s">
        <v>83</v>
      </c>
      <c r="L2" s="10" t="s">
        <v>84</v>
      </c>
    </row>
    <row r="3" ht="27" spans="1:12">
      <c r="A3" s="14">
        <v>2</v>
      </c>
      <c r="B3" s="4" t="s">
        <v>91</v>
      </c>
      <c r="C3" s="4" t="s">
        <v>73</v>
      </c>
      <c r="D3" s="4" t="s">
        <v>92</v>
      </c>
      <c r="E3" s="4" t="s">
        <v>89</v>
      </c>
      <c r="F3" s="4" t="s">
        <v>93</v>
      </c>
      <c r="G3" s="41">
        <v>46205</v>
      </c>
      <c r="H3" s="4" t="s">
        <v>95</v>
      </c>
      <c r="I3" s="4" t="s">
        <v>96</v>
      </c>
      <c r="J3" s="4" t="s">
        <v>507</v>
      </c>
      <c r="K3" s="4" t="s">
        <v>83</v>
      </c>
      <c r="L3" s="3" t="s">
        <v>99</v>
      </c>
    </row>
    <row r="4" ht="40.5" spans="1:12">
      <c r="A4" s="24">
        <v>3</v>
      </c>
      <c r="B4" s="11" t="s">
        <v>103</v>
      </c>
      <c r="C4" s="11" t="s">
        <v>73</v>
      </c>
      <c r="D4" s="11" t="s">
        <v>104</v>
      </c>
      <c r="E4" s="11" t="s">
        <v>102</v>
      </c>
      <c r="F4" s="11" t="s">
        <v>105</v>
      </c>
      <c r="G4" s="40">
        <v>46206</v>
      </c>
      <c r="H4" s="11" t="s">
        <v>107</v>
      </c>
      <c r="I4" s="11" t="s">
        <v>108</v>
      </c>
      <c r="J4" s="11" t="s">
        <v>507</v>
      </c>
      <c r="K4" s="11" t="s">
        <v>83</v>
      </c>
      <c r="L4" s="10" t="s">
        <v>110</v>
      </c>
    </row>
    <row r="5" ht="40.5" spans="1:12">
      <c r="A5" s="14">
        <v>4</v>
      </c>
      <c r="B5" s="4" t="s">
        <v>112</v>
      </c>
      <c r="C5" s="4" t="s">
        <v>73</v>
      </c>
      <c r="D5" s="4" t="s">
        <v>104</v>
      </c>
      <c r="E5" s="4" t="s">
        <v>100</v>
      </c>
      <c r="F5" s="4" t="s">
        <v>113</v>
      </c>
      <c r="G5" s="41">
        <v>46208</v>
      </c>
      <c r="H5" s="4" t="s">
        <v>115</v>
      </c>
      <c r="I5" s="4" t="s">
        <v>116</v>
      </c>
      <c r="J5" s="4" t="s">
        <v>507</v>
      </c>
      <c r="K5" s="4" t="s">
        <v>83</v>
      </c>
      <c r="L5" s="3" t="s">
        <v>118</v>
      </c>
    </row>
    <row r="6" ht="54" spans="1:12">
      <c r="A6" s="24">
        <v>5</v>
      </c>
      <c r="B6" s="11" t="s">
        <v>120</v>
      </c>
      <c r="C6" s="11" t="s">
        <v>73</v>
      </c>
      <c r="D6" s="11" t="s">
        <v>104</v>
      </c>
      <c r="E6" s="11" t="s">
        <v>100</v>
      </c>
      <c r="F6" s="11" t="s">
        <v>121</v>
      </c>
      <c r="G6" s="40">
        <v>46208</v>
      </c>
      <c r="H6" s="11" t="s">
        <v>123</v>
      </c>
      <c r="I6" s="11" t="s">
        <v>124</v>
      </c>
      <c r="J6" s="11" t="s">
        <v>507</v>
      </c>
      <c r="K6" s="11" t="s">
        <v>126</v>
      </c>
      <c r="L6" s="10" t="s">
        <v>127</v>
      </c>
    </row>
    <row r="7" ht="40.5" spans="1:12">
      <c r="A7" s="14">
        <v>6</v>
      </c>
      <c r="B7" s="4" t="s">
        <v>132</v>
      </c>
      <c r="C7" s="4" t="s">
        <v>73</v>
      </c>
      <c r="D7" s="4" t="s">
        <v>133</v>
      </c>
      <c r="E7" s="4" t="s">
        <v>131</v>
      </c>
      <c r="F7" s="4" t="s">
        <v>134</v>
      </c>
      <c r="G7" s="41">
        <v>46210</v>
      </c>
      <c r="H7" s="4" t="s">
        <v>136</v>
      </c>
      <c r="I7" s="4" t="s">
        <v>137</v>
      </c>
      <c r="J7" s="4" t="s">
        <v>507</v>
      </c>
      <c r="K7" s="4" t="s">
        <v>83</v>
      </c>
      <c r="L7" s="3" t="s">
        <v>139</v>
      </c>
    </row>
    <row r="8" ht="54" spans="1:12">
      <c r="A8" s="24">
        <v>7</v>
      </c>
      <c r="B8" s="11" t="s">
        <v>91</v>
      </c>
      <c r="C8" s="11" t="s">
        <v>73</v>
      </c>
      <c r="D8" s="11" t="s">
        <v>92</v>
      </c>
      <c r="E8" s="11" t="s">
        <v>141</v>
      </c>
      <c r="F8" s="11" t="s">
        <v>143</v>
      </c>
      <c r="G8" s="40">
        <v>46210</v>
      </c>
      <c r="H8" s="11" t="s">
        <v>145</v>
      </c>
      <c r="I8" s="11" t="s">
        <v>146</v>
      </c>
      <c r="J8" s="11" t="s">
        <v>507</v>
      </c>
      <c r="K8" s="11" t="s">
        <v>126</v>
      </c>
      <c r="L8" s="10" t="s">
        <v>148</v>
      </c>
    </row>
    <row r="9" ht="67.5" spans="1:12">
      <c r="A9" s="14">
        <v>8</v>
      </c>
      <c r="B9" s="4" t="s">
        <v>152</v>
      </c>
      <c r="C9" s="4" t="s">
        <v>153</v>
      </c>
      <c r="D9" s="4" t="s">
        <v>104</v>
      </c>
      <c r="E9" s="4" t="s">
        <v>151</v>
      </c>
      <c r="F9" s="4" t="s">
        <v>154</v>
      </c>
      <c r="G9" s="41">
        <v>46212.7298611111</v>
      </c>
      <c r="H9" s="4" t="s">
        <v>156</v>
      </c>
      <c r="I9" s="4" t="s">
        <v>157</v>
      </c>
      <c r="J9" s="4" t="s">
        <v>507</v>
      </c>
      <c r="K9" s="4" t="s">
        <v>83</v>
      </c>
      <c r="L9" s="3" t="s">
        <v>159</v>
      </c>
    </row>
    <row r="10" ht="27" spans="1:12">
      <c r="A10" s="24">
        <v>9</v>
      </c>
      <c r="B10" s="11" t="s">
        <v>164</v>
      </c>
      <c r="C10" s="11" t="s">
        <v>153</v>
      </c>
      <c r="D10" s="11" t="s">
        <v>133</v>
      </c>
      <c r="E10" s="11" t="s">
        <v>163</v>
      </c>
      <c r="F10" s="11" t="s">
        <v>165</v>
      </c>
      <c r="G10" s="40">
        <v>46218</v>
      </c>
      <c r="H10" s="11" t="s">
        <v>167</v>
      </c>
      <c r="I10" s="11" t="s">
        <v>168</v>
      </c>
      <c r="J10" s="11" t="s">
        <v>508</v>
      </c>
      <c r="K10" s="11" t="s">
        <v>83</v>
      </c>
      <c r="L10" s="10" t="s">
        <v>170</v>
      </c>
    </row>
    <row r="11" ht="54" spans="1:12">
      <c r="A11" s="14">
        <v>10</v>
      </c>
      <c r="B11" s="4" t="s">
        <v>176</v>
      </c>
      <c r="C11" s="4" t="s">
        <v>73</v>
      </c>
      <c r="D11" s="4" t="s">
        <v>104</v>
      </c>
      <c r="E11" s="4" t="s">
        <v>174</v>
      </c>
      <c r="F11" s="4" t="s">
        <v>177</v>
      </c>
      <c r="G11" s="41">
        <v>46226</v>
      </c>
      <c r="H11" s="4" t="s">
        <v>179</v>
      </c>
      <c r="I11" s="4" t="s">
        <v>180</v>
      </c>
      <c r="J11" s="4" t="s">
        <v>507</v>
      </c>
      <c r="K11" s="4" t="s">
        <v>83</v>
      </c>
      <c r="L11" s="3" t="s">
        <v>183</v>
      </c>
    </row>
    <row r="12" ht="40.5" spans="1:12">
      <c r="A12" s="24">
        <v>11</v>
      </c>
      <c r="B12" s="11" t="s">
        <v>164</v>
      </c>
      <c r="C12" s="11" t="s">
        <v>153</v>
      </c>
      <c r="D12" s="11" t="s">
        <v>133</v>
      </c>
      <c r="E12" s="11" t="s">
        <v>188</v>
      </c>
      <c r="F12" s="11" t="s">
        <v>189</v>
      </c>
      <c r="G12" s="40">
        <v>46226.7</v>
      </c>
      <c r="H12" s="11" t="s">
        <v>191</v>
      </c>
      <c r="I12" s="11" t="s">
        <v>192</v>
      </c>
      <c r="J12" s="11" t="s">
        <v>507</v>
      </c>
      <c r="K12" s="11" t="s">
        <v>126</v>
      </c>
      <c r="L12" s="10" t="s">
        <v>195</v>
      </c>
    </row>
    <row r="13" ht="27" spans="1:12">
      <c r="A13" s="14">
        <v>12</v>
      </c>
      <c r="B13" s="4" t="s">
        <v>200</v>
      </c>
      <c r="C13" s="4" t="s">
        <v>73</v>
      </c>
      <c r="D13" s="4" t="s">
        <v>133</v>
      </c>
      <c r="E13" s="4" t="s">
        <v>199</v>
      </c>
      <c r="F13" s="4" t="s">
        <v>201</v>
      </c>
      <c r="G13" s="41">
        <v>46227.6993055556</v>
      </c>
      <c r="H13" s="4" t="s">
        <v>203</v>
      </c>
      <c r="I13" s="4" t="s">
        <v>192</v>
      </c>
      <c r="J13" s="4" t="s">
        <v>507</v>
      </c>
      <c r="K13" s="4" t="s">
        <v>126</v>
      </c>
      <c r="L13" s="3" t="s">
        <v>206</v>
      </c>
    </row>
    <row r="14" ht="27" spans="1:12">
      <c r="A14" s="24">
        <v>13</v>
      </c>
      <c r="B14" s="11" t="s">
        <v>164</v>
      </c>
      <c r="C14" s="11" t="s">
        <v>153</v>
      </c>
      <c r="D14" s="11" t="s">
        <v>133</v>
      </c>
      <c r="E14" s="11" t="s">
        <v>209</v>
      </c>
      <c r="F14" s="11" t="s">
        <v>210</v>
      </c>
      <c r="G14" s="40">
        <v>46231</v>
      </c>
      <c r="H14" s="11" t="s">
        <v>212</v>
      </c>
      <c r="I14" s="11" t="s">
        <v>213</v>
      </c>
      <c r="J14" s="11" t="s">
        <v>507</v>
      </c>
      <c r="K14" s="11" t="s">
        <v>83</v>
      </c>
      <c r="L14" s="10" t="s">
        <v>215</v>
      </c>
    </row>
    <row r="15" ht="54" spans="1:12">
      <c r="A15" s="14">
        <v>14</v>
      </c>
      <c r="B15" s="4" t="s">
        <v>220</v>
      </c>
      <c r="C15" s="4" t="s">
        <v>73</v>
      </c>
      <c r="D15" s="4" t="s">
        <v>221</v>
      </c>
      <c r="E15" s="4" t="s">
        <v>219</v>
      </c>
      <c r="F15" s="4" t="s">
        <v>222</v>
      </c>
      <c r="G15" s="41">
        <v>46232</v>
      </c>
      <c r="H15" s="4" t="s">
        <v>224</v>
      </c>
      <c r="I15" s="4" t="s">
        <v>225</v>
      </c>
      <c r="J15" s="4" t="s">
        <v>507</v>
      </c>
      <c r="K15" s="4" t="s">
        <v>83</v>
      </c>
      <c r="L15" s="3" t="s">
        <v>227</v>
      </c>
    </row>
    <row r="16" ht="40.5" spans="1:12">
      <c r="A16" s="14">
        <v>15</v>
      </c>
      <c r="B16" s="4" t="s">
        <v>231</v>
      </c>
      <c r="C16" s="4" t="s">
        <v>153</v>
      </c>
      <c r="D16" s="4" t="s">
        <v>232</v>
      </c>
      <c r="E16" s="4" t="s">
        <v>230</v>
      </c>
      <c r="F16" s="4" t="s">
        <v>233</v>
      </c>
      <c r="G16" s="41">
        <v>46233.6826388889</v>
      </c>
      <c r="H16" s="4" t="s">
        <v>235</v>
      </c>
      <c r="I16" s="4" t="s">
        <v>192</v>
      </c>
      <c r="J16" s="4" t="s">
        <v>507</v>
      </c>
      <c r="K16" s="4" t="s">
        <v>126</v>
      </c>
      <c r="L16" s="3" t="s">
        <v>237</v>
      </c>
    </row>
    <row r="17" ht="40.5" spans="1:12">
      <c r="A17" s="14">
        <v>16</v>
      </c>
      <c r="B17" s="4" t="s">
        <v>200</v>
      </c>
      <c r="C17" s="4" t="s">
        <v>73</v>
      </c>
      <c r="D17" s="4" t="s">
        <v>133</v>
      </c>
      <c r="E17" s="4" t="s">
        <v>199</v>
      </c>
      <c r="F17" s="4" t="s">
        <v>240</v>
      </c>
      <c r="G17" s="41"/>
      <c r="H17" s="4" t="s">
        <v>242</v>
      </c>
      <c r="I17" s="4" t="s">
        <v>192</v>
      </c>
      <c r="J17" s="4" t="s">
        <v>507</v>
      </c>
      <c r="K17" s="4" t="s">
        <v>126</v>
      </c>
      <c r="L17" s="3" t="s">
        <v>244</v>
      </c>
    </row>
    <row r="18" ht="27" spans="1:12">
      <c r="A18" s="14">
        <v>17</v>
      </c>
      <c r="B18" s="3" t="s">
        <v>249</v>
      </c>
      <c r="C18" s="3" t="s">
        <v>153</v>
      </c>
      <c r="D18" s="3" t="s">
        <v>133</v>
      </c>
      <c r="E18" s="3" t="s">
        <v>248</v>
      </c>
      <c r="F18" s="3" t="s">
        <v>250</v>
      </c>
      <c r="G18" s="42"/>
      <c r="H18" s="3" t="s">
        <v>252</v>
      </c>
      <c r="I18" s="3" t="s">
        <v>192</v>
      </c>
      <c r="J18" s="3" t="s">
        <v>507</v>
      </c>
      <c r="K18" s="3" t="s">
        <v>126</v>
      </c>
      <c r="L18" s="3" t="s">
        <v>254</v>
      </c>
    </row>
    <row r="19" spans="1:12">
      <c r="G19" s="30"/>
    </row>
    <row r="20" spans="1:12">
      <c r="G20" s="30"/>
    </row>
    <row r="21" spans="1:12">
      <c r="G21" s="30"/>
    </row>
    <row r="22" spans="1:12">
      <c r="G22" s="30"/>
    </row>
    <row r="23" spans="1:12">
      <c r="G23" s="30"/>
    </row>
    <row r="24" spans="1:12">
      <c r="G24" s="30"/>
    </row>
    <row r="25" spans="1:12">
      <c r="G25" s="30"/>
    </row>
    <row r="26" spans="1:12">
      <c r="G26" s="30"/>
    </row>
    <row r="27" spans="1:12">
      <c r="G27" s="30"/>
    </row>
    <row r="28" spans="1:12">
      <c r="G28" s="30"/>
    </row>
    <row r="29" spans="1:12">
      <c r="G29" s="30"/>
    </row>
    <row r="30" spans="1:12">
      <c r="G30" s="30"/>
    </row>
    <row r="31" spans="1:12">
      <c r="G31" s="30"/>
    </row>
    <row r="32" spans="1:12">
      <c r="G32" s="30"/>
    </row>
    <row r="33" spans="7:7">
      <c r="G33" s="30"/>
    </row>
    <row r="34" spans="7:7">
      <c r="G34" s="30"/>
    </row>
    <row r="35" spans="7:7">
      <c r="G35" s="30"/>
    </row>
    <row r="36" spans="7:7">
      <c r="G36" s="30"/>
    </row>
    <row r="37" spans="7:7">
      <c r="G37" s="30"/>
    </row>
    <row r="38" spans="7:7">
      <c r="G38" s="30"/>
    </row>
    <row r="39" spans="7:7">
      <c r="G39" s="30"/>
    </row>
    <row r="40" spans="7:7">
      <c r="G40" s="30"/>
    </row>
    <row r="41" spans="7:7">
      <c r="G41" s="30"/>
    </row>
    <row r="42" spans="7:7">
      <c r="G42" s="30"/>
    </row>
    <row r="43" spans="7:7">
      <c r="G43" s="30"/>
    </row>
    <row r="44" spans="7:7">
      <c r="G44" s="30"/>
    </row>
    <row r="45" spans="7:7">
      <c r="G45" s="30"/>
    </row>
    <row r="46" spans="7:7">
      <c r="G46" s="30"/>
    </row>
    <row r="47" spans="7:7">
      <c r="G47" s="30"/>
    </row>
    <row r="48" spans="7:7">
      <c r="G48" s="30"/>
    </row>
    <row r="49" spans="7:7">
      <c r="G49" s="30"/>
    </row>
    <row r="50" spans="7:7">
      <c r="G50" s="30"/>
    </row>
    <row r="51" spans="7:7">
      <c r="G51" s="30"/>
    </row>
    <row r="52" spans="7:7">
      <c r="G52" s="30"/>
    </row>
    <row r="53" spans="7:7">
      <c r="G53" s="30"/>
    </row>
    <row r="54" spans="7:7">
      <c r="G54" s="30"/>
    </row>
    <row r="55" spans="7:7">
      <c r="G55" s="30"/>
    </row>
    <row r="56" spans="7:7">
      <c r="G56" s="30"/>
    </row>
    <row r="57" spans="7:7">
      <c r="G57" s="30"/>
    </row>
    <row r="58" spans="7:7">
      <c r="G58" s="30"/>
    </row>
    <row r="59" spans="7:7">
      <c r="G59" s="30"/>
    </row>
    <row r="60" spans="7:7">
      <c r="G60" s="30"/>
    </row>
    <row r="61" spans="7:7">
      <c r="G61" s="30"/>
    </row>
    <row r="62" spans="7:7">
      <c r="G62" s="30"/>
    </row>
    <row r="63" spans="7:7">
      <c r="G63" s="30"/>
    </row>
    <row r="64" spans="7:7">
      <c r="G64" s="30"/>
    </row>
    <row r="65" spans="7:7">
      <c r="G65" s="30"/>
    </row>
    <row r="66" spans="7:7">
      <c r="G66" s="30"/>
    </row>
    <row r="67" spans="7:7">
      <c r="G67" s="30"/>
    </row>
    <row r="68" spans="7:7">
      <c r="G68" s="30"/>
    </row>
    <row r="69" spans="7:7">
      <c r="G69" s="30"/>
    </row>
    <row r="70" spans="7:7">
      <c r="G70" s="30"/>
    </row>
    <row r="71" spans="7:7">
      <c r="G71" s="30"/>
    </row>
    <row r="72" spans="7:7">
      <c r="G72" s="30"/>
    </row>
    <row r="73" spans="7:7">
      <c r="G73" s="30"/>
    </row>
    <row r="74" spans="7:7">
      <c r="G74" s="30"/>
    </row>
    <row r="75" spans="7:7">
      <c r="G75" s="30"/>
    </row>
    <row r="76" spans="7:7">
      <c r="G76" s="30"/>
    </row>
    <row r="77" spans="7:7">
      <c r="G77" s="30"/>
    </row>
    <row r="78" spans="7:7">
      <c r="G78" s="30"/>
    </row>
    <row r="79" spans="7:7">
      <c r="G79" s="30"/>
    </row>
    <row r="80" spans="7:7">
      <c r="G80" s="30"/>
    </row>
    <row r="81" spans="7:7">
      <c r="G81" s="30"/>
    </row>
    <row r="82" spans="7:7">
      <c r="G82" s="30"/>
    </row>
    <row r="83" spans="7:7">
      <c r="G83" s="30"/>
    </row>
    <row r="84" spans="7:7">
      <c r="G84" s="30"/>
    </row>
    <row r="85" spans="7:7">
      <c r="G85" s="30"/>
    </row>
    <row r="86" spans="7:7">
      <c r="G86" s="30"/>
    </row>
    <row r="87" spans="7:7">
      <c r="G87" s="30"/>
    </row>
    <row r="88" spans="7:7">
      <c r="G88" s="30"/>
    </row>
    <row r="89" spans="7:7">
      <c r="G89" s="30"/>
    </row>
    <row r="90" spans="7:7">
      <c r="G90" s="30"/>
    </row>
    <row r="91" spans="7:7">
      <c r="G91" s="30"/>
    </row>
    <row r="92" spans="7:7">
      <c r="G92" s="30"/>
    </row>
    <row r="93" spans="7:7">
      <c r="G93" s="30"/>
    </row>
    <row r="94" spans="7:7">
      <c r="G94" s="30"/>
    </row>
    <row r="95" spans="7:7">
      <c r="G95" s="30"/>
    </row>
    <row r="96" spans="7:7">
      <c r="G96" s="30"/>
    </row>
    <row r="97" spans="7:7">
      <c r="G97" s="30"/>
    </row>
    <row r="98" spans="7:7">
      <c r="G98" s="30"/>
    </row>
    <row r="99" spans="7:7">
      <c r="G99" s="30"/>
    </row>
    <row r="100" spans="7:7">
      <c r="G100" s="30"/>
    </row>
    <row r="101" spans="7:7">
      <c r="G101" s="30"/>
    </row>
    <row r="102" spans="7:7">
      <c r="G102" s="30"/>
    </row>
    <row r="103" spans="7:7">
      <c r="G103" s="30"/>
    </row>
    <row r="104" spans="7:7">
      <c r="G104" s="30"/>
    </row>
    <row r="105" spans="7:7">
      <c r="G105" s="30"/>
    </row>
    <row r="106" spans="7:7">
      <c r="G106" s="30"/>
    </row>
    <row r="107" spans="7:7">
      <c r="G107" s="30"/>
    </row>
    <row r="108" spans="7:7">
      <c r="G108" s="30"/>
    </row>
    <row r="109" spans="7:7">
      <c r="G109" s="30"/>
    </row>
    <row r="110" spans="7:7">
      <c r="G110" s="30"/>
    </row>
    <row r="111" spans="7:7">
      <c r="G111" s="30"/>
    </row>
    <row r="112" spans="7:7">
      <c r="G112" s="30"/>
    </row>
    <row r="113" spans="7:7">
      <c r="G113" s="30"/>
    </row>
    <row r="114" spans="7:7">
      <c r="G114" s="30"/>
    </row>
    <row r="115" spans="7:7">
      <c r="G115" s="30"/>
    </row>
    <row r="116" spans="7:7">
      <c r="G116" s="30"/>
    </row>
    <row r="117" spans="7:7">
      <c r="G117" s="30"/>
    </row>
    <row r="118" spans="7:7">
      <c r="G118" s="30"/>
    </row>
    <row r="119" spans="7:7">
      <c r="G119" s="30"/>
    </row>
    <row r="120" spans="7:7">
      <c r="G120" s="30"/>
    </row>
    <row r="121" spans="7:7">
      <c r="G121" s="30"/>
    </row>
    <row r="122" spans="7:7">
      <c r="G122" s="30"/>
    </row>
    <row r="123" spans="7:7">
      <c r="G123" s="30"/>
    </row>
    <row r="124" spans="7:7">
      <c r="G124" s="30"/>
    </row>
    <row r="125" spans="7:7">
      <c r="G125" s="30"/>
    </row>
    <row r="126" spans="7:7">
      <c r="G126" s="30"/>
    </row>
    <row r="127" spans="7:7">
      <c r="G127" s="30"/>
    </row>
    <row r="128" spans="7:7">
      <c r="G128" s="30"/>
    </row>
    <row r="129" spans="7:7">
      <c r="G129" s="30"/>
    </row>
    <row r="130" spans="7:7">
      <c r="G130" s="30"/>
    </row>
    <row r="131" spans="7:7">
      <c r="G131" s="30"/>
    </row>
    <row r="132" spans="7:7">
      <c r="G132" s="30"/>
    </row>
    <row r="133" spans="7:7">
      <c r="G133" s="30"/>
    </row>
    <row r="134" spans="7:7">
      <c r="G134" s="30"/>
    </row>
    <row r="135" spans="7:7">
      <c r="G135" s="30"/>
    </row>
    <row r="136" spans="7:7">
      <c r="G136" s="30"/>
    </row>
    <row r="137" spans="7:7">
      <c r="G137" s="30"/>
    </row>
    <row r="138" spans="7:7">
      <c r="G138" s="30"/>
    </row>
    <row r="139" spans="7:7">
      <c r="G139" s="30"/>
    </row>
    <row r="140" spans="7:7">
      <c r="G140" s="30"/>
    </row>
    <row r="141" spans="7:7">
      <c r="G141" s="30"/>
    </row>
    <row r="142" spans="7:7">
      <c r="G142" s="30"/>
    </row>
    <row r="143" spans="7:7">
      <c r="G143" s="30"/>
    </row>
    <row r="144" spans="7:7">
      <c r="G144" s="30"/>
    </row>
    <row r="145" spans="7:7">
      <c r="G145" s="30"/>
    </row>
    <row r="146" spans="7:7">
      <c r="G146" s="30"/>
    </row>
    <row r="147" spans="7:7">
      <c r="G147" s="30"/>
    </row>
    <row r="148" spans="7:7">
      <c r="G148" s="30"/>
    </row>
    <row r="149" spans="7:7">
      <c r="G149" s="30"/>
    </row>
    <row r="150" spans="7:7">
      <c r="G150" s="30"/>
    </row>
    <row r="151" spans="7:7">
      <c r="G151" s="30"/>
    </row>
    <row r="152" spans="7:7">
      <c r="G152" s="30"/>
    </row>
    <row r="153" spans="7:7">
      <c r="G153" s="30"/>
    </row>
    <row r="154" spans="7:7">
      <c r="G154" s="30"/>
    </row>
    <row r="155" spans="7:7">
      <c r="G155" s="30"/>
    </row>
    <row r="156" spans="7:7">
      <c r="G156" s="30"/>
    </row>
    <row r="157" spans="7:7">
      <c r="G157" s="30"/>
    </row>
    <row r="158" spans="7:7">
      <c r="G158" s="30"/>
    </row>
    <row r="159" spans="7:7">
      <c r="G159" s="30"/>
    </row>
    <row r="160" spans="7:7">
      <c r="G160" s="30"/>
    </row>
    <row r="161" spans="7:7">
      <c r="G161" s="30"/>
    </row>
    <row r="162" spans="7:7">
      <c r="G162" s="30"/>
    </row>
    <row r="163" spans="7:7">
      <c r="G163" s="30"/>
    </row>
    <row r="164" spans="7:7">
      <c r="G164" s="30"/>
    </row>
    <row r="165" spans="7:7">
      <c r="G165" s="30"/>
    </row>
    <row r="166" spans="7:7">
      <c r="G166" s="30"/>
    </row>
    <row r="167" spans="7:7">
      <c r="G167" s="30"/>
    </row>
    <row r="168" spans="7:7">
      <c r="G168" s="30"/>
    </row>
    <row r="169" spans="7:7">
      <c r="G169" s="30"/>
    </row>
    <row r="170" spans="7:7">
      <c r="G170" s="30"/>
    </row>
    <row r="171" spans="7:7">
      <c r="G171" s="30"/>
    </row>
    <row r="172" spans="7:7">
      <c r="G172" s="30"/>
    </row>
    <row r="173" spans="7:7">
      <c r="G173" s="30"/>
    </row>
    <row r="174" spans="7:7">
      <c r="G174" s="30"/>
    </row>
    <row r="175" spans="7:7">
      <c r="G175" s="30"/>
    </row>
    <row r="176" spans="7:7">
      <c r="G176" s="30"/>
    </row>
    <row r="177" spans="7:7">
      <c r="G177" s="30"/>
    </row>
    <row r="178" spans="7:7">
      <c r="G178" s="30"/>
    </row>
    <row r="179" spans="7:7">
      <c r="G179" s="30"/>
    </row>
    <row r="180" spans="7:7">
      <c r="G180" s="30"/>
    </row>
    <row r="181" spans="7:7">
      <c r="G181" s="30"/>
    </row>
    <row r="182" spans="7:7">
      <c r="G182" s="30"/>
    </row>
    <row r="183" spans="7:7">
      <c r="G183" s="30"/>
    </row>
    <row r="184" spans="7:7">
      <c r="G184" s="30"/>
    </row>
    <row r="185" spans="7:7">
      <c r="G185" s="30"/>
    </row>
    <row r="186" spans="7:7">
      <c r="G186" s="30"/>
    </row>
    <row r="187" spans="7:7">
      <c r="G187" s="30"/>
    </row>
    <row r="188" spans="7:7">
      <c r="G188" s="30"/>
    </row>
    <row r="189" spans="7:7">
      <c r="G189" s="30"/>
    </row>
    <row r="190" spans="7:7">
      <c r="G190" s="30"/>
    </row>
    <row r="191" spans="7:7">
      <c r="G191" s="30"/>
    </row>
    <row r="192" spans="7:7">
      <c r="G192" s="30"/>
    </row>
    <row r="193" spans="7:7">
      <c r="G193" s="30"/>
    </row>
    <row r="194" spans="7:7">
      <c r="G194" s="30"/>
    </row>
    <row r="195" spans="7:7">
      <c r="G195" s="30"/>
    </row>
    <row r="196" spans="7:7">
      <c r="G196" s="30"/>
    </row>
    <row r="197" spans="7:7">
      <c r="G197" s="30"/>
    </row>
    <row r="198" spans="7:7">
      <c r="G198" s="30"/>
    </row>
    <row r="199" spans="7:7">
      <c r="G199" s="30"/>
    </row>
    <row r="200" spans="7:7">
      <c r="G200" s="30"/>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A1" sqref="A1:G1"/>
    </sheetView>
  </sheetViews>
  <sheetFormatPr defaultColWidth="9" defaultRowHeight="13.5" outlineLevelCol="6"/>
  <cols>
    <col min="1" max="1" width="30" customWidth="1"/>
    <col min="2" max="2" width="12" customWidth="1"/>
    <col min="3" max="4" width="18" customWidth="1"/>
    <col min="5" max="5" width="4" customWidth="1"/>
    <col min="6" max="6" width="40" customWidth="1"/>
    <col min="7" max="7" width="12" customWidth="1"/>
  </cols>
  <sheetData>
    <row r="1" ht="34" customHeight="1" spans="1:7">
      <c r="A1" s="1" t="s">
        <v>509</v>
      </c>
      <c r="B1" s="1"/>
      <c r="C1" s="1"/>
      <c r="D1" s="1"/>
      <c r="E1" s="1"/>
      <c r="F1" s="1"/>
      <c r="G1" s="1"/>
    </row>
    <row r="2" ht="13.9" spans="1:7">
      <c r="A2" s="31"/>
      <c r="B2" s="31"/>
      <c r="C2" s="31"/>
      <c r="D2" s="31"/>
      <c r="E2" s="31"/>
      <c r="F2" s="2" t="s">
        <v>510</v>
      </c>
      <c r="G2" s="2" t="s">
        <v>511</v>
      </c>
    </row>
    <row r="3" spans="1:7">
      <c r="A3" s="2" t="s">
        <v>512</v>
      </c>
      <c r="B3" s="2" t="s">
        <v>513</v>
      </c>
      <c r="C3" s="31"/>
      <c r="D3" s="31"/>
      <c r="E3" s="31"/>
      <c r="F3" s="32" t="s">
        <v>514</v>
      </c>
      <c r="G3" s="32">
        <v>34</v>
      </c>
    </row>
    <row r="4" ht="13.85" spans="1:7">
      <c r="A4" s="33" t="s">
        <v>515</v>
      </c>
      <c r="B4" s="34">
        <f>COUNTIF(公众评论明细!S2:S152,"是")+IF(聚合评论统计!G4="是",聚合评论统计!F4,0)</f>
        <v>827</v>
      </c>
      <c r="C4" s="31"/>
      <c r="D4" s="31"/>
      <c r="E4" s="31"/>
      <c r="F4" s="32" t="s">
        <v>217</v>
      </c>
      <c r="G4" s="32">
        <v>3</v>
      </c>
    </row>
    <row r="5" ht="13.85" spans="1:7">
      <c r="A5" s="33" t="s">
        <v>516</v>
      </c>
      <c r="B5" s="34">
        <f>COUNTIFS(公众评论明细!S2:S152,"是",公众评论明细!L2:L152,"支持认可")+IF(AND(聚合评论统计!G4="是",聚合评论统计!D4="支持认可"),聚合评论统计!F4,0)</f>
        <v>756</v>
      </c>
      <c r="C5" s="31"/>
      <c r="D5" s="31"/>
      <c r="E5" s="31"/>
      <c r="F5" s="32" t="s">
        <v>517</v>
      </c>
      <c r="G5" s="32">
        <v>8</v>
      </c>
    </row>
    <row r="6" ht="13.85" spans="1:7">
      <c r="A6" s="33" t="s">
        <v>518</v>
      </c>
      <c r="B6" s="34">
        <f>COUNTIFS(公众评论明细!S2:S152,"是",公众评论明细!L2:L152,"咨询疑问")</f>
        <v>5</v>
      </c>
      <c r="C6" s="31"/>
      <c r="D6" s="31"/>
      <c r="E6" s="31"/>
      <c r="F6" s="32" t="s">
        <v>519</v>
      </c>
      <c r="G6" s="32">
        <v>7</v>
      </c>
    </row>
    <row r="7" ht="13.85" spans="1:7">
      <c r="A7" s="33" t="s">
        <v>520</v>
      </c>
      <c r="B7" s="34">
        <f>COUNTIFS(公众评论明细!S2:S152,"是",公众评论明细!L2:L152,"担忧影响")</f>
        <v>7</v>
      </c>
      <c r="C7" s="31"/>
      <c r="D7" s="31"/>
      <c r="E7" s="31"/>
      <c r="F7" s="32" t="s">
        <v>259</v>
      </c>
      <c r="G7" s="32">
        <v>4</v>
      </c>
    </row>
    <row r="8" ht="13.85" spans="1:7">
      <c r="A8" s="33" t="s">
        <v>521</v>
      </c>
      <c r="B8" s="34">
        <f>COUNTIFS(公众评论明细!S2:S152,"是",公众评论明细!L2:L152,"明确批评")</f>
        <v>19</v>
      </c>
      <c r="C8" s="31"/>
      <c r="D8" s="31"/>
      <c r="E8" s="31"/>
      <c r="F8" s="32" t="s">
        <v>522</v>
      </c>
      <c r="G8" s="31">
        <v>3</v>
      </c>
    </row>
    <row r="9" ht="13.85" spans="1:7">
      <c r="A9" s="33" t="s">
        <v>523</v>
      </c>
      <c r="B9" s="34">
        <f>COUNTIFS(公众评论明细!S2:S152,"是",公众评论明细!L2:L152,"投诉维权")</f>
        <v>4</v>
      </c>
      <c r="C9" s="31"/>
      <c r="D9" s="31"/>
      <c r="E9" s="31"/>
      <c r="F9" s="32" t="s">
        <v>524</v>
      </c>
      <c r="G9" s="31">
        <v>7</v>
      </c>
    </row>
    <row r="10" ht="13.85" spans="1:7">
      <c r="A10" s="33" t="s">
        <v>525</v>
      </c>
      <c r="B10" s="34">
        <f>COUNTIFS(公众评论明细!S2:S152,"是",公众评论明细!L2:L152,"实施问题")</f>
        <v>24</v>
      </c>
      <c r="C10" s="31"/>
      <c r="D10" s="31"/>
      <c r="E10" s="31"/>
      <c r="F10" s="35" t="s">
        <v>526</v>
      </c>
      <c r="G10" s="36">
        <v>3</v>
      </c>
    </row>
    <row r="11" ht="13.85" spans="1:7">
      <c r="A11" s="33" t="s">
        <v>527</v>
      </c>
      <c r="B11" s="34">
        <f>COUNTIFS(公众评论明细!S2:S152,"是",公众评论明细!L2:L152,"公平争议")</f>
        <v>12</v>
      </c>
      <c r="C11" s="31"/>
      <c r="D11" s="31"/>
      <c r="E11" s="31"/>
      <c r="F11" s="32" t="s">
        <v>528</v>
      </c>
      <c r="G11" s="32">
        <v>2</v>
      </c>
    </row>
    <row r="12" ht="13.85" spans="1:7">
      <c r="A12" s="33" t="s">
        <v>529</v>
      </c>
      <c r="B12" s="34">
        <f>COUNTIFS(公众评论明细!S2:S152,"是",公众评论明细!T2:T152,"是")</f>
        <v>1</v>
      </c>
      <c r="C12" s="31"/>
      <c r="D12" s="31"/>
      <c r="E12" s="31"/>
      <c r="F12" s="32" t="s">
        <v>530</v>
      </c>
      <c r="G12" s="32">
        <v>685</v>
      </c>
    </row>
    <row r="13" spans="1:7">
      <c r="A13" s="31"/>
      <c r="B13" s="31"/>
      <c r="C13" s="31"/>
      <c r="D13" s="31"/>
      <c r="E13" s="31"/>
      <c r="F13" s="2" t="s">
        <v>531</v>
      </c>
      <c r="G13" s="2" t="s">
        <v>513</v>
      </c>
    </row>
    <row r="14" ht="15" spans="1:7">
      <c r="A14" s="37" t="s">
        <v>532</v>
      </c>
      <c r="B14" s="37"/>
      <c r="C14" s="37"/>
      <c r="D14" s="37"/>
      <c r="E14" s="31"/>
      <c r="F14" s="31" t="s">
        <v>533</v>
      </c>
      <c r="G14" s="31">
        <f>COUNTIFS(公众评论明细!S2:S152,"是",公众评论明细!M2:M152,"较具体观点")</f>
        <v>41</v>
      </c>
    </row>
    <row r="15" ht="44" customHeight="1" spans="1:7">
      <c r="A15" s="38" t="s">
        <v>534</v>
      </c>
      <c r="B15" s="38"/>
      <c r="C15" s="38"/>
      <c r="D15" s="38"/>
      <c r="E15" s="31"/>
      <c r="F15" s="31" t="s">
        <v>535</v>
      </c>
      <c r="G15" s="31">
        <f>COUNTIFS(公众评论明细!S2:S152,"是",公众评论明细!M2:M152,"低信息量表态")+IF(AND(聚合评论统计!G4="是",聚合评论统计!H4="低信息量表态"),聚合评论统计!F4,0)</f>
        <v>786</v>
      </c>
    </row>
    <row r="16" ht="44" customHeight="1" spans="1:7">
      <c r="A16" s="38"/>
      <c r="B16" s="38"/>
      <c r="C16" s="38"/>
      <c r="D16" s="38"/>
      <c r="E16" s="31"/>
      <c r="F16" s="31"/>
      <c r="G16" s="31"/>
    </row>
    <row r="17" spans="1:4">
      <c r="A17" s="38"/>
      <c r="B17" s="38"/>
      <c r="C17" s="38"/>
      <c r="D17" s="38"/>
    </row>
    <row r="18" spans="1:4">
      <c r="A18" s="38"/>
      <c r="B18" s="38"/>
      <c r="C18" s="38"/>
      <c r="D18" s="38"/>
    </row>
    <row r="20" ht="15" spans="1:4">
      <c r="A20" s="39" t="s">
        <v>536</v>
      </c>
      <c r="B20" s="39"/>
      <c r="C20" s="39"/>
      <c r="D20" s="39"/>
    </row>
    <row r="22" spans="1:4">
      <c r="A22" s="2" t="s">
        <v>537</v>
      </c>
      <c r="B22" s="2" t="s">
        <v>538</v>
      </c>
      <c r="C22" s="2" t="s">
        <v>539</v>
      </c>
      <c r="D22" s="2" t="s">
        <v>540</v>
      </c>
    </row>
    <row r="23" ht="40.5" spans="1:4">
      <c r="A23" s="13" t="s">
        <v>541</v>
      </c>
      <c r="B23" s="13">
        <f>COUNTIF(有效舆情明细!T2:T18,"*调研*")+COUNTIF(有效舆情明细!T2:T18,"*学习*")</f>
        <v>7</v>
      </c>
      <c r="C23" s="13" t="s">
        <v>542</v>
      </c>
      <c r="D23" s="13" t="s">
        <v>543</v>
      </c>
    </row>
    <row r="24" ht="27" spans="1:4">
      <c r="A24" s="13" t="s">
        <v>544</v>
      </c>
      <c r="B24" s="13">
        <f>COUNTIF(有效舆情明细!T2:T18,"*意见征集*")</f>
        <v>1</v>
      </c>
      <c r="C24" s="13" t="s">
        <v>545</v>
      </c>
      <c r="D24" s="13" t="s">
        <v>546</v>
      </c>
    </row>
    <row r="25" ht="27" spans="1:4">
      <c r="A25" s="13" t="s">
        <v>547</v>
      </c>
      <c r="B25" s="13">
        <f>COUNTIF(有效舆情明细!T2:T18,"*语言文字*")</f>
        <v>2</v>
      </c>
      <c r="C25" s="13" t="s">
        <v>548</v>
      </c>
      <c r="D25" s="13" t="s">
        <v>549</v>
      </c>
    </row>
    <row r="26" ht="81" spans="1:4">
      <c r="A26" s="13" t="s">
        <v>550</v>
      </c>
      <c r="B26" s="13">
        <f>COUNTIF(有效舆情明细!T2:T18,"*普法*")+COUNTIF(有效舆情明细!T2:T18,"*宗教*")+COUNTIF(有效舆情明细!T2:T18,"*宣讲*")</f>
        <v>9</v>
      </c>
      <c r="C26" s="13" t="s">
        <v>551</v>
      </c>
      <c r="D26" s="13" t="s">
        <v>552</v>
      </c>
    </row>
    <row r="27" ht="27" spans="1:4">
      <c r="A27" s="13" t="s">
        <v>553</v>
      </c>
      <c r="B27" s="13">
        <v>0</v>
      </c>
      <c r="C27" s="13" t="s">
        <v>554</v>
      </c>
      <c r="D27" s="13" t="s">
        <v>555</v>
      </c>
    </row>
  </sheetData>
  <mergeCells count="4">
    <mergeCell ref="A1:G1"/>
    <mergeCell ref="A14:D14"/>
    <mergeCell ref="A20:D20"/>
    <mergeCell ref="A15:D1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selection activeCell="A1" sqref="A1"/>
    </sheetView>
  </sheetViews>
  <sheetFormatPr defaultColWidth="9" defaultRowHeight="13.5" outlineLevelCol="5"/>
  <cols>
    <col min="1" max="1" width="7" customWidth="1"/>
    <col min="2" max="2" width="18" customWidth="1"/>
    <col min="3" max="3" width="34" customWidth="1"/>
    <col min="4" max="4" width="44" customWidth="1"/>
    <col min="5" max="5" width="38" customWidth="1"/>
    <col min="6" max="6" width="52" customWidth="1"/>
  </cols>
  <sheetData>
    <row r="1" ht="13.9" spans="1:6">
      <c r="A1" s="2" t="s">
        <v>42</v>
      </c>
      <c r="B1" s="2" t="s">
        <v>556</v>
      </c>
      <c r="C1" s="2" t="s">
        <v>46</v>
      </c>
      <c r="D1" s="2" t="s">
        <v>557</v>
      </c>
      <c r="E1" s="2" t="s">
        <v>558</v>
      </c>
      <c r="F1" s="2" t="s">
        <v>559</v>
      </c>
    </row>
    <row r="2" spans="1:6">
      <c r="A2" s="21">
        <v>1</v>
      </c>
      <c r="B2" s="22" t="s">
        <v>560</v>
      </c>
      <c r="C2" s="22" t="s">
        <v>561</v>
      </c>
      <c r="D2" s="22" t="s">
        <v>562</v>
      </c>
      <c r="E2" s="22" t="s">
        <v>563</v>
      </c>
      <c r="F2" s="21" t="s">
        <v>564</v>
      </c>
    </row>
    <row r="3" spans="1:6">
      <c r="A3" s="13">
        <v>2</v>
      </c>
      <c r="B3" s="23" t="s">
        <v>560</v>
      </c>
      <c r="C3" s="23" t="s">
        <v>565</v>
      </c>
      <c r="D3" s="23" t="s">
        <v>566</v>
      </c>
      <c r="E3" s="23" t="s">
        <v>563</v>
      </c>
      <c r="F3" s="13" t="s">
        <v>567</v>
      </c>
    </row>
    <row r="4" spans="1:6">
      <c r="A4" s="21">
        <v>3</v>
      </c>
      <c r="B4" s="22" t="s">
        <v>560</v>
      </c>
      <c r="C4" s="22" t="s">
        <v>568</v>
      </c>
      <c r="D4" s="22" t="s">
        <v>569</v>
      </c>
      <c r="E4" s="22" t="s">
        <v>563</v>
      </c>
      <c r="F4" s="21" t="s">
        <v>567</v>
      </c>
    </row>
    <row r="5" spans="1:6">
      <c r="A5" s="13">
        <v>4</v>
      </c>
      <c r="B5" s="23" t="s">
        <v>560</v>
      </c>
      <c r="C5" s="23" t="s">
        <v>570</v>
      </c>
      <c r="D5" s="23" t="s">
        <v>571</v>
      </c>
      <c r="E5" s="23" t="s">
        <v>563</v>
      </c>
      <c r="F5" s="13" t="s">
        <v>567</v>
      </c>
    </row>
    <row r="6" spans="1:6">
      <c r="A6" s="21">
        <v>5</v>
      </c>
      <c r="B6" s="22" t="s">
        <v>560</v>
      </c>
      <c r="C6" s="22" t="s">
        <v>572</v>
      </c>
      <c r="D6" s="22" t="s">
        <v>573</v>
      </c>
      <c r="E6" s="22" t="s">
        <v>563</v>
      </c>
      <c r="F6" s="21" t="s">
        <v>567</v>
      </c>
    </row>
    <row r="7" spans="1:6">
      <c r="A7" s="13">
        <v>6</v>
      </c>
      <c r="B7" s="23" t="s">
        <v>574</v>
      </c>
      <c r="C7" s="23" t="s">
        <v>575</v>
      </c>
      <c r="D7" s="23" t="s">
        <v>576</v>
      </c>
      <c r="E7" s="23" t="s">
        <v>577</v>
      </c>
      <c r="F7" s="13" t="s">
        <v>578</v>
      </c>
    </row>
    <row r="8" spans="1:6">
      <c r="A8" s="21">
        <v>7</v>
      </c>
      <c r="B8" s="22" t="s">
        <v>579</v>
      </c>
      <c r="C8" s="22" t="s">
        <v>580</v>
      </c>
      <c r="D8" s="22" t="s">
        <v>581</v>
      </c>
      <c r="E8" s="22" t="s">
        <v>582</v>
      </c>
      <c r="F8" s="21" t="s">
        <v>583</v>
      </c>
    </row>
    <row r="9" spans="1:6">
      <c r="A9" s="13">
        <v>8</v>
      </c>
      <c r="B9" s="23" t="s">
        <v>584</v>
      </c>
      <c r="C9" s="23" t="s">
        <v>585</v>
      </c>
      <c r="D9" s="23" t="s">
        <v>586</v>
      </c>
      <c r="E9" s="23" t="s">
        <v>587</v>
      </c>
      <c r="F9" s="13" t="s">
        <v>588</v>
      </c>
    </row>
    <row r="10" ht="27" spans="1:6">
      <c r="A10" s="13">
        <v>9</v>
      </c>
      <c r="B10" s="23" t="s">
        <v>589</v>
      </c>
      <c r="C10" s="23" t="s">
        <v>100</v>
      </c>
      <c r="D10" s="23" t="s">
        <v>590</v>
      </c>
      <c r="E10" s="23" t="s">
        <v>563</v>
      </c>
      <c r="F10" s="13" t="s">
        <v>591</v>
      </c>
    </row>
    <row r="11" ht="27" spans="1:6">
      <c r="A11" s="13">
        <v>10</v>
      </c>
      <c r="B11" s="23" t="s">
        <v>592</v>
      </c>
      <c r="C11" s="23" t="s">
        <v>593</v>
      </c>
      <c r="D11" s="23" t="s">
        <v>594</v>
      </c>
      <c r="E11" s="23" t="s">
        <v>595</v>
      </c>
      <c r="F11" s="13" t="s">
        <v>596</v>
      </c>
    </row>
    <row r="12" ht="27" spans="1:6">
      <c r="A12" s="13">
        <v>11</v>
      </c>
      <c r="B12" s="23" t="s">
        <v>592</v>
      </c>
      <c r="C12" s="23" t="s">
        <v>593</v>
      </c>
      <c r="D12" s="23" t="s">
        <v>597</v>
      </c>
      <c r="E12" s="23" t="s">
        <v>598</v>
      </c>
      <c r="F12" s="13" t="s">
        <v>599</v>
      </c>
    </row>
    <row r="13" ht="27" spans="1:6">
      <c r="A13" s="13">
        <v>12</v>
      </c>
      <c r="B13" s="23" t="s">
        <v>600</v>
      </c>
      <c r="C13" s="23" t="s">
        <v>593</v>
      </c>
      <c r="D13" s="23" t="s">
        <v>601</v>
      </c>
      <c r="E13" s="23" t="s">
        <v>602</v>
      </c>
      <c r="F13" s="13" t="s">
        <v>603</v>
      </c>
    </row>
    <row r="14" ht="27" spans="1:6">
      <c r="A14" s="13">
        <v>13</v>
      </c>
      <c r="B14" s="23" t="s">
        <v>604</v>
      </c>
      <c r="C14" s="23" t="s">
        <v>605</v>
      </c>
      <c r="D14" s="23" t="s">
        <v>606</v>
      </c>
      <c r="E14" s="23" t="s">
        <v>607</v>
      </c>
      <c r="F14" s="13" t="s">
        <v>608</v>
      </c>
    </row>
    <row r="15" ht="40.5" spans="1:6">
      <c r="A15" s="13">
        <v>14</v>
      </c>
      <c r="B15" s="13" t="s">
        <v>609</v>
      </c>
      <c r="C15" s="13" t="s">
        <v>605</v>
      </c>
      <c r="D15" s="13" t="s">
        <v>610</v>
      </c>
      <c r="E15" s="13" t="s">
        <v>611</v>
      </c>
      <c r="F15" s="13" t="s">
        <v>612</v>
      </c>
    </row>
    <row r="16" ht="27" spans="1:6">
      <c r="A16" s="13">
        <v>15</v>
      </c>
      <c r="B16" s="13" t="s">
        <v>613</v>
      </c>
      <c r="C16" s="13" t="s">
        <v>614</v>
      </c>
      <c r="D16" s="13" t="s">
        <v>615</v>
      </c>
      <c r="E16" s="13" t="s">
        <v>616</v>
      </c>
      <c r="F16" s="13" t="s">
        <v>617</v>
      </c>
    </row>
    <row r="17" ht="27" spans="1:6">
      <c r="A17" s="13">
        <v>16</v>
      </c>
      <c r="B17" s="13" t="s">
        <v>618</v>
      </c>
      <c r="C17" s="13" t="s">
        <v>619</v>
      </c>
      <c r="D17" s="13" t="s">
        <v>620</v>
      </c>
      <c r="E17" s="13" t="s">
        <v>621</v>
      </c>
      <c r="F17" s="13" t="s">
        <v>622</v>
      </c>
    </row>
    <row r="18" ht="27" spans="1:6">
      <c r="A18" s="13">
        <v>17</v>
      </c>
      <c r="B18" s="13" t="s">
        <v>623</v>
      </c>
      <c r="C18" s="13" t="s">
        <v>624</v>
      </c>
      <c r="D18" s="13" t="s">
        <v>625</v>
      </c>
      <c r="E18" s="13" t="s">
        <v>626</v>
      </c>
      <c r="F18" s="13" t="s">
        <v>627</v>
      </c>
    </row>
    <row r="19" ht="27" spans="1:6">
      <c r="A19" s="13">
        <v>18</v>
      </c>
      <c r="B19" s="13" t="s">
        <v>628</v>
      </c>
      <c r="C19" s="13" t="s">
        <v>629</v>
      </c>
      <c r="D19" s="13" t="s">
        <v>630</v>
      </c>
      <c r="E19" s="13" t="s">
        <v>631</v>
      </c>
      <c r="F19" s="13" t="s">
        <v>632</v>
      </c>
    </row>
    <row r="20" ht="27" spans="1:6">
      <c r="A20" s="13">
        <v>19</v>
      </c>
      <c r="B20" s="13" t="s">
        <v>633</v>
      </c>
      <c r="C20" s="13" t="s">
        <v>634</v>
      </c>
      <c r="D20" s="13" t="s">
        <v>635</v>
      </c>
      <c r="E20" s="13" t="s">
        <v>636</v>
      </c>
      <c r="F20" s="13" t="s">
        <v>637</v>
      </c>
    </row>
    <row r="21" ht="27" spans="1:6">
      <c r="A21" s="13">
        <v>20</v>
      </c>
      <c r="B21" s="13" t="s">
        <v>638</v>
      </c>
      <c r="C21" s="13" t="s">
        <v>639</v>
      </c>
      <c r="D21" s="13" t="s">
        <v>640</v>
      </c>
      <c r="E21" s="13" t="s">
        <v>641</v>
      </c>
      <c r="F21" s="13" t="s">
        <v>642</v>
      </c>
    </row>
    <row r="22" ht="54" spans="1:6">
      <c r="A22" s="13">
        <v>21</v>
      </c>
      <c r="B22" s="13" t="s">
        <v>643</v>
      </c>
      <c r="C22" s="13" t="s">
        <v>644</v>
      </c>
      <c r="D22" s="13" t="s">
        <v>645</v>
      </c>
      <c r="E22" s="13" t="s">
        <v>646</v>
      </c>
      <c r="F22" s="13" t="s">
        <v>647</v>
      </c>
    </row>
    <row r="23" ht="27" spans="1:6">
      <c r="A23" s="13">
        <v>22</v>
      </c>
      <c r="B23" s="13" t="s">
        <v>648</v>
      </c>
      <c r="C23" s="13" t="s">
        <v>649</v>
      </c>
      <c r="D23" s="13" t="s">
        <v>650</v>
      </c>
      <c r="E23" s="13" t="s">
        <v>651</v>
      </c>
      <c r="F23" s="13" t="s">
        <v>652</v>
      </c>
    </row>
    <row r="24" ht="27" spans="1:6">
      <c r="A24" s="13">
        <v>23</v>
      </c>
      <c r="B24" s="13" t="s">
        <v>653</v>
      </c>
      <c r="C24" s="13" t="s">
        <v>654</v>
      </c>
      <c r="D24" s="13" t="s">
        <v>655</v>
      </c>
      <c r="E24" s="13" t="s">
        <v>656</v>
      </c>
      <c r="F24" s="13" t="s">
        <v>657</v>
      </c>
    </row>
    <row r="25" ht="27" spans="1:6">
      <c r="A25" s="13">
        <v>24</v>
      </c>
      <c r="B25" s="13" t="s">
        <v>658</v>
      </c>
      <c r="C25" s="13" t="s">
        <v>659</v>
      </c>
      <c r="D25" s="13" t="s">
        <v>660</v>
      </c>
      <c r="E25" s="13" t="s">
        <v>661</v>
      </c>
      <c r="F25" s="13" t="s">
        <v>662</v>
      </c>
    </row>
    <row r="26" ht="40.5" spans="1:6">
      <c r="A26" s="13">
        <v>25</v>
      </c>
      <c r="B26" s="13" t="s">
        <v>663</v>
      </c>
      <c r="C26" s="13" t="s">
        <v>664</v>
      </c>
      <c r="D26" s="13" t="s">
        <v>665</v>
      </c>
      <c r="E26" s="13" t="s">
        <v>666</v>
      </c>
      <c r="F26" s="13" t="s">
        <v>667</v>
      </c>
    </row>
    <row r="27" ht="27" spans="1:6">
      <c r="A27" s="13">
        <v>26</v>
      </c>
      <c r="B27" s="13" t="s">
        <v>600</v>
      </c>
      <c r="C27" s="13" t="s">
        <v>668</v>
      </c>
      <c r="D27" s="13" t="s">
        <v>669</v>
      </c>
      <c r="E27" s="13" t="s">
        <v>670</v>
      </c>
      <c r="F27" s="13" t="s">
        <v>671</v>
      </c>
    </row>
    <row r="28" ht="27" spans="1:6">
      <c r="A28" s="13">
        <v>27</v>
      </c>
      <c r="B28" s="13" t="s">
        <v>672</v>
      </c>
      <c r="C28" s="13" t="s">
        <v>673</v>
      </c>
      <c r="D28" s="13" t="s">
        <v>674</v>
      </c>
      <c r="E28" s="13" t="s">
        <v>675</v>
      </c>
      <c r="F28" s="13" t="s">
        <v>676</v>
      </c>
    </row>
    <row r="29" ht="40.5" spans="1:6">
      <c r="A29" s="13">
        <v>28</v>
      </c>
      <c r="B29" s="13" t="s">
        <v>677</v>
      </c>
      <c r="C29" s="13" t="s">
        <v>678</v>
      </c>
      <c r="D29" s="13" t="s">
        <v>679</v>
      </c>
      <c r="E29" s="13" t="s">
        <v>680</v>
      </c>
      <c r="F29" s="13" t="s">
        <v>681</v>
      </c>
    </row>
    <row r="30" ht="27" spans="1:6">
      <c r="A30" s="3">
        <v>29</v>
      </c>
      <c r="B30" s="3" t="s">
        <v>682</v>
      </c>
      <c r="C30" s="3" t="s">
        <v>683</v>
      </c>
      <c r="D30" s="3" t="s">
        <v>684</v>
      </c>
      <c r="E30" s="3" t="s">
        <v>685</v>
      </c>
      <c r="F30" s="3" t="s">
        <v>686</v>
      </c>
    </row>
    <row r="31" ht="40.5" spans="1:6">
      <c r="A31" s="3">
        <v>30</v>
      </c>
      <c r="B31" s="3" t="s">
        <v>687</v>
      </c>
      <c r="C31" s="3" t="s">
        <v>688</v>
      </c>
      <c r="D31" s="3" t="s">
        <v>689</v>
      </c>
      <c r="E31" s="3" t="s">
        <v>690</v>
      </c>
      <c r="F31" s="3" t="s">
        <v>691</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A1" sqref="A1"/>
    </sheetView>
  </sheetViews>
  <sheetFormatPr defaultColWidth="9" defaultRowHeight="13.5" outlineLevelCol="6"/>
  <cols>
    <col min="1" max="1" width="7" customWidth="1"/>
    <col min="2" max="2" width="52" customWidth="1"/>
    <col min="3" max="3" width="31" customWidth="1"/>
    <col min="4" max="4" width="38" customWidth="1"/>
    <col min="5" max="5" width="52" customWidth="1"/>
    <col min="6" max="6" width="62" customWidth="1"/>
    <col min="7" max="7" width="48" customWidth="1"/>
  </cols>
  <sheetData>
    <row r="1" spans="1:7">
      <c r="A1" s="2" t="s">
        <v>42</v>
      </c>
      <c r="B1" s="2" t="s">
        <v>692</v>
      </c>
      <c r="C1" s="2" t="s">
        <v>50</v>
      </c>
      <c r="D1" s="2" t="s">
        <v>693</v>
      </c>
      <c r="E1" s="2" t="s">
        <v>694</v>
      </c>
      <c r="F1" s="2" t="s">
        <v>695</v>
      </c>
      <c r="G1" s="2" t="s">
        <v>696</v>
      </c>
    </row>
    <row r="2" ht="40.5" spans="1:7">
      <c r="A2" s="24">
        <v>1</v>
      </c>
      <c r="B2" s="21" t="s">
        <v>697</v>
      </c>
      <c r="C2" s="21" t="s">
        <v>164</v>
      </c>
      <c r="D2" s="21" t="s">
        <v>698</v>
      </c>
      <c r="E2" s="21" t="s">
        <v>699</v>
      </c>
      <c r="F2" s="21" t="s">
        <v>700</v>
      </c>
      <c r="G2" s="21" t="s">
        <v>701</v>
      </c>
    </row>
    <row r="3" ht="54" spans="1:7">
      <c r="A3" s="14">
        <v>2</v>
      </c>
      <c r="B3" s="13" t="s">
        <v>702</v>
      </c>
      <c r="C3" s="13" t="s">
        <v>703</v>
      </c>
      <c r="D3" s="13" t="s">
        <v>704</v>
      </c>
      <c r="E3" s="13" t="s">
        <v>705</v>
      </c>
      <c r="F3" s="13" t="s">
        <v>706</v>
      </c>
      <c r="G3" s="13" t="s">
        <v>707</v>
      </c>
    </row>
    <row r="4" ht="40.5" spans="1:7">
      <c r="A4" s="24">
        <v>3</v>
      </c>
      <c r="B4" s="21" t="s">
        <v>708</v>
      </c>
      <c r="C4" s="21" t="s">
        <v>709</v>
      </c>
      <c r="D4" s="21" t="s">
        <v>710</v>
      </c>
      <c r="E4" s="21" t="s">
        <v>711</v>
      </c>
      <c r="F4" s="21" t="s">
        <v>712</v>
      </c>
      <c r="G4" s="21" t="s">
        <v>713</v>
      </c>
    </row>
    <row r="5" ht="40.5" spans="1:7">
      <c r="A5" s="14">
        <v>4</v>
      </c>
      <c r="B5" s="13" t="s">
        <v>714</v>
      </c>
      <c r="C5" s="13" t="s">
        <v>200</v>
      </c>
      <c r="D5" s="13" t="s">
        <v>715</v>
      </c>
      <c r="E5" s="13" t="s">
        <v>716</v>
      </c>
      <c r="F5" s="13" t="s">
        <v>717</v>
      </c>
      <c r="G5" s="13" t="s">
        <v>718</v>
      </c>
    </row>
    <row r="6" ht="40.5" spans="1:7">
      <c r="A6" s="24">
        <v>5</v>
      </c>
      <c r="B6" s="21" t="s">
        <v>719</v>
      </c>
      <c r="C6" s="21" t="s">
        <v>132</v>
      </c>
      <c r="D6" s="21" t="s">
        <v>720</v>
      </c>
      <c r="E6" s="21" t="s">
        <v>721</v>
      </c>
      <c r="F6" s="21" t="s">
        <v>722</v>
      </c>
      <c r="G6" s="21" t="s">
        <v>723</v>
      </c>
    </row>
    <row r="7" ht="27" spans="1:7">
      <c r="A7" s="14">
        <v>6</v>
      </c>
      <c r="B7" s="13" t="s">
        <v>724</v>
      </c>
      <c r="C7" s="13" t="s">
        <v>478</v>
      </c>
      <c r="D7" s="13" t="s">
        <v>725</v>
      </c>
      <c r="E7" s="13" t="s">
        <v>726</v>
      </c>
      <c r="F7" s="13" t="s">
        <v>727</v>
      </c>
      <c r="G7" s="13" t="s">
        <v>728</v>
      </c>
    </row>
    <row r="8" ht="54" spans="1:7">
      <c r="A8" s="24">
        <v>7</v>
      </c>
      <c r="B8" s="21" t="s">
        <v>729</v>
      </c>
      <c r="C8" s="21" t="s">
        <v>730</v>
      </c>
      <c r="D8" s="21" t="s">
        <v>731</v>
      </c>
      <c r="E8" s="21" t="s">
        <v>732</v>
      </c>
      <c r="F8" s="21" t="s">
        <v>733</v>
      </c>
      <c r="G8" s="21" t="s">
        <v>734</v>
      </c>
    </row>
    <row r="9" ht="27" spans="1:7">
      <c r="A9" s="14">
        <v>8</v>
      </c>
      <c r="B9" s="13" t="s">
        <v>735</v>
      </c>
      <c r="C9" s="13" t="s">
        <v>494</v>
      </c>
      <c r="D9" s="13" t="s">
        <v>736</v>
      </c>
      <c r="E9" s="13" t="s">
        <v>737</v>
      </c>
      <c r="F9" s="13" t="s">
        <v>738</v>
      </c>
      <c r="G9" s="13" t="s">
        <v>739</v>
      </c>
    </row>
    <row r="10" ht="27" spans="1:7">
      <c r="A10" s="24">
        <v>9</v>
      </c>
      <c r="B10" s="21" t="s">
        <v>740</v>
      </c>
      <c r="C10" s="21" t="s">
        <v>741</v>
      </c>
      <c r="D10" s="21" t="s">
        <v>742</v>
      </c>
      <c r="E10" s="21" t="s">
        <v>743</v>
      </c>
      <c r="F10" s="21" t="s">
        <v>744</v>
      </c>
      <c r="G10" s="21" t="s">
        <v>745</v>
      </c>
    </row>
    <row r="11" ht="27" spans="1:7">
      <c r="A11" s="14">
        <v>10</v>
      </c>
      <c r="B11" s="13" t="s">
        <v>746</v>
      </c>
      <c r="C11" s="13" t="s">
        <v>404</v>
      </c>
      <c r="D11" s="13" t="s">
        <v>747</v>
      </c>
      <c r="E11" s="13" t="s">
        <v>748</v>
      </c>
      <c r="F11" s="13" t="s">
        <v>749</v>
      </c>
      <c r="G11" s="13" t="s">
        <v>750</v>
      </c>
    </row>
    <row r="12" ht="27" spans="1:7">
      <c r="A12" s="24">
        <v>11</v>
      </c>
      <c r="B12" s="21" t="s">
        <v>751</v>
      </c>
      <c r="C12" s="21" t="s">
        <v>382</v>
      </c>
      <c r="D12" s="21" t="s">
        <v>752</v>
      </c>
      <c r="E12" s="21" t="s">
        <v>753</v>
      </c>
      <c r="F12" s="21" t="s">
        <v>754</v>
      </c>
      <c r="G12" s="21" t="s">
        <v>755</v>
      </c>
    </row>
    <row r="13" ht="40.5" spans="1:7">
      <c r="A13" s="14">
        <v>12</v>
      </c>
      <c r="B13" s="13" t="s">
        <v>756</v>
      </c>
      <c r="C13" s="13" t="s">
        <v>757</v>
      </c>
      <c r="D13" s="13" t="s">
        <v>758</v>
      </c>
      <c r="E13" s="13" t="s">
        <v>759</v>
      </c>
      <c r="F13" s="13" t="s">
        <v>760</v>
      </c>
      <c r="G13" s="13" t="s">
        <v>761</v>
      </c>
    </row>
    <row r="14" ht="40.5" spans="1:7">
      <c r="A14" s="24">
        <v>13</v>
      </c>
      <c r="B14" s="21" t="s">
        <v>762</v>
      </c>
      <c r="C14" s="21" t="s">
        <v>91</v>
      </c>
      <c r="D14" s="21" t="s">
        <v>763</v>
      </c>
      <c r="E14" s="21" t="s">
        <v>764</v>
      </c>
      <c r="F14" s="21" t="s">
        <v>765</v>
      </c>
      <c r="G14" s="21" t="s">
        <v>766</v>
      </c>
    </row>
    <row r="15" ht="27" spans="1:7">
      <c r="A15" s="14">
        <v>14</v>
      </c>
      <c r="B15" s="13" t="s">
        <v>767</v>
      </c>
      <c r="C15" s="13" t="s">
        <v>220</v>
      </c>
      <c r="D15" s="13" t="s">
        <v>768</v>
      </c>
      <c r="E15" s="13" t="s">
        <v>769</v>
      </c>
      <c r="F15" s="13" t="s">
        <v>770</v>
      </c>
      <c r="G15" s="13" t="s">
        <v>771</v>
      </c>
    </row>
    <row r="16" ht="27" spans="1:7">
      <c r="A16" s="24">
        <v>15</v>
      </c>
      <c r="B16" s="21" t="s">
        <v>772</v>
      </c>
      <c r="C16" s="21" t="s">
        <v>773</v>
      </c>
      <c r="D16" s="21" t="s">
        <v>774</v>
      </c>
      <c r="E16" s="21" t="s">
        <v>775</v>
      </c>
      <c r="F16" s="21" t="s">
        <v>776</v>
      </c>
      <c r="G16" s="21" t="s">
        <v>766</v>
      </c>
    </row>
    <row r="17" ht="27" spans="1:7">
      <c r="A17" s="14">
        <v>16</v>
      </c>
      <c r="B17" s="13" t="s">
        <v>777</v>
      </c>
      <c r="C17" s="13" t="s">
        <v>330</v>
      </c>
      <c r="D17" s="13" t="s">
        <v>778</v>
      </c>
      <c r="E17" s="13" t="s">
        <v>779</v>
      </c>
      <c r="F17" s="13" t="s">
        <v>780</v>
      </c>
      <c r="G17" s="13" t="s">
        <v>781</v>
      </c>
    </row>
    <row r="18" ht="40.5" spans="1:7">
      <c r="A18" s="24">
        <v>17</v>
      </c>
      <c r="B18" s="10" t="s">
        <v>782</v>
      </c>
      <c r="C18" s="10" t="s">
        <v>783</v>
      </c>
      <c r="D18" s="10" t="s">
        <v>784</v>
      </c>
      <c r="E18" s="10" t="s">
        <v>785</v>
      </c>
      <c r="F18" s="10" t="s">
        <v>786</v>
      </c>
      <c r="G18" s="10" t="s">
        <v>787</v>
      </c>
    </row>
    <row r="19" ht="40.5" spans="1:7">
      <c r="A19" s="14">
        <v>18</v>
      </c>
      <c r="B19" s="3" t="s">
        <v>788</v>
      </c>
      <c r="C19" s="3" t="s">
        <v>789</v>
      </c>
      <c r="D19" s="3" t="s">
        <v>790</v>
      </c>
      <c r="E19" s="3" t="s">
        <v>791</v>
      </c>
      <c r="F19" s="3" t="s">
        <v>792</v>
      </c>
      <c r="G19" s="3" t="s">
        <v>793</v>
      </c>
    </row>
    <row r="20" ht="27" spans="1:7">
      <c r="A20" s="24">
        <v>19</v>
      </c>
      <c r="B20" s="10" t="s">
        <v>794</v>
      </c>
      <c r="C20" s="10" t="s">
        <v>795</v>
      </c>
      <c r="D20" s="10" t="s">
        <v>796</v>
      </c>
      <c r="E20" s="10" t="s">
        <v>797</v>
      </c>
      <c r="F20" s="10" t="s">
        <v>798</v>
      </c>
      <c r="G20" s="10" t="s">
        <v>799</v>
      </c>
    </row>
    <row r="21" ht="40.5" spans="1:7">
      <c r="A21" s="14">
        <v>20</v>
      </c>
      <c r="B21" s="3" t="s">
        <v>800</v>
      </c>
      <c r="C21" s="3" t="s">
        <v>801</v>
      </c>
      <c r="D21" s="3" t="s">
        <v>802</v>
      </c>
      <c r="E21" s="3" t="s">
        <v>803</v>
      </c>
      <c r="F21" s="3" t="s">
        <v>804</v>
      </c>
      <c r="G21" s="3" t="s">
        <v>805</v>
      </c>
    </row>
    <row r="22" ht="27" spans="1:7">
      <c r="A22" s="24">
        <v>21</v>
      </c>
      <c r="B22" s="10" t="s">
        <v>806</v>
      </c>
      <c r="C22" s="10" t="s">
        <v>807</v>
      </c>
      <c r="D22" s="10" t="s">
        <v>808</v>
      </c>
      <c r="E22" s="10" t="s">
        <v>809</v>
      </c>
      <c r="F22" s="10" t="s">
        <v>810</v>
      </c>
      <c r="G22" s="10" t="s">
        <v>811</v>
      </c>
    </row>
    <row r="23" ht="27" spans="1:7">
      <c r="A23" s="14">
        <v>22</v>
      </c>
      <c r="B23" s="3" t="s">
        <v>812</v>
      </c>
      <c r="C23" s="3" t="s">
        <v>813</v>
      </c>
      <c r="D23" s="3" t="s">
        <v>814</v>
      </c>
      <c r="E23" s="3" t="s">
        <v>815</v>
      </c>
      <c r="F23" s="3" t="s">
        <v>816</v>
      </c>
      <c r="G23" s="3" t="s">
        <v>817</v>
      </c>
    </row>
    <row r="24" ht="40.5" spans="1:7">
      <c r="A24" s="24">
        <v>23</v>
      </c>
      <c r="B24" s="10" t="s">
        <v>818</v>
      </c>
      <c r="C24" s="10" t="s">
        <v>819</v>
      </c>
      <c r="D24" s="10" t="s">
        <v>820</v>
      </c>
      <c r="E24" s="10" t="s">
        <v>821</v>
      </c>
      <c r="F24" s="10" t="s">
        <v>822</v>
      </c>
      <c r="G24" s="10" t="s">
        <v>823</v>
      </c>
    </row>
  </sheetData>
  <conditionalFormatting sqref="D2:D24">
    <cfRule type="expression" dxfId="2" priority="1">
      <formula>ISNUMBER(SEARCH("暂未发现",D2))</formula>
    </cfRule>
    <cfRule type="expression" dxfId="3" priority="2">
      <formula>ISNUMBER(SEARCH("语言人员复核",D2))</formula>
    </cfRule>
  </conditionalFormatting>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A1" sqref="A1"/>
    </sheetView>
  </sheetViews>
  <sheetFormatPr defaultColWidth="9" defaultRowHeight="13.5"/>
  <cols>
    <col min="1" max="1" width="7" customWidth="1"/>
    <col min="2" max="2" width="34" customWidth="1"/>
    <col min="3" max="3" width="9" customWidth="1"/>
    <col min="4" max="4" width="13" customWidth="1"/>
    <col min="5" max="5" width="64" customWidth="1"/>
    <col min="6" max="6" width="56" customWidth="1"/>
    <col min="7" max="7" width="12" customWidth="1"/>
    <col min="8" max="8" width="28" customWidth="1"/>
    <col min="9" max="9" width="72" customWidth="1"/>
    <col min="10" max="10" width="42" customWidth="1"/>
    <col min="11" max="11" width="46" customWidth="1"/>
    <col min="12" max="12" width="50" customWidth="1"/>
  </cols>
  <sheetData>
    <row r="1" ht="13.9" spans="1:12">
      <c r="A1" s="2" t="s">
        <v>42</v>
      </c>
      <c r="B1" s="2" t="s">
        <v>501</v>
      </c>
      <c r="C1" s="2" t="s">
        <v>51</v>
      </c>
      <c r="D1" s="2" t="s">
        <v>52</v>
      </c>
      <c r="E1" s="2" t="s">
        <v>824</v>
      </c>
      <c r="F1" s="2" t="s">
        <v>825</v>
      </c>
      <c r="G1" s="2" t="s">
        <v>826</v>
      </c>
      <c r="H1" s="2" t="s">
        <v>827</v>
      </c>
      <c r="I1" s="2" t="s">
        <v>828</v>
      </c>
      <c r="J1" s="2" t="s">
        <v>829</v>
      </c>
      <c r="K1" s="2" t="s">
        <v>830</v>
      </c>
      <c r="L1" s="2" t="s">
        <v>831</v>
      </c>
    </row>
    <row r="2" ht="40.5" spans="1:12">
      <c r="A2" s="24">
        <v>1</v>
      </c>
      <c r="B2" s="21" t="s">
        <v>164</v>
      </c>
      <c r="C2" s="21" t="s">
        <v>153</v>
      </c>
      <c r="D2" s="21" t="s">
        <v>133</v>
      </c>
      <c r="E2" s="21" t="s">
        <v>832</v>
      </c>
      <c r="F2" s="21" t="s">
        <v>833</v>
      </c>
      <c r="G2" s="21" t="s">
        <v>834</v>
      </c>
      <c r="H2" s="21" t="s">
        <v>835</v>
      </c>
      <c r="I2" s="21" t="s">
        <v>836</v>
      </c>
      <c r="J2" s="21" t="s">
        <v>837</v>
      </c>
      <c r="K2" s="21" t="s">
        <v>838</v>
      </c>
      <c r="L2" s="21" t="s">
        <v>839</v>
      </c>
    </row>
    <row r="3" ht="40.5" spans="1:12">
      <c r="A3" s="14">
        <v>2</v>
      </c>
      <c r="B3" s="13" t="s">
        <v>249</v>
      </c>
      <c r="C3" s="13" t="s">
        <v>153</v>
      </c>
      <c r="D3" s="13" t="s">
        <v>133</v>
      </c>
      <c r="E3" s="13" t="s">
        <v>840</v>
      </c>
      <c r="F3" s="13" t="s">
        <v>841</v>
      </c>
      <c r="G3" s="13" t="s">
        <v>834</v>
      </c>
      <c r="H3" s="13" t="s">
        <v>842</v>
      </c>
      <c r="I3" s="13" t="s">
        <v>843</v>
      </c>
      <c r="J3" s="13" t="s">
        <v>844</v>
      </c>
      <c r="K3" s="13" t="s">
        <v>845</v>
      </c>
      <c r="L3" s="13" t="s">
        <v>846</v>
      </c>
    </row>
    <row r="4" ht="40.5" spans="1:12">
      <c r="A4" s="24">
        <v>3</v>
      </c>
      <c r="B4" s="21" t="s">
        <v>709</v>
      </c>
      <c r="C4" s="21" t="s">
        <v>153</v>
      </c>
      <c r="D4" s="21" t="s">
        <v>133</v>
      </c>
      <c r="E4" s="21" t="s">
        <v>847</v>
      </c>
      <c r="F4" s="21" t="s">
        <v>708</v>
      </c>
      <c r="G4" s="21" t="s">
        <v>834</v>
      </c>
      <c r="H4" s="21" t="s">
        <v>848</v>
      </c>
      <c r="I4" s="21" t="s">
        <v>849</v>
      </c>
      <c r="J4" s="21" t="s">
        <v>850</v>
      </c>
      <c r="K4" s="21" t="s">
        <v>851</v>
      </c>
      <c r="L4" s="21" t="s">
        <v>852</v>
      </c>
    </row>
    <row r="5" ht="40.5" spans="1:12">
      <c r="A5" s="14">
        <v>4</v>
      </c>
      <c r="B5" s="13" t="s">
        <v>200</v>
      </c>
      <c r="C5" s="13" t="s">
        <v>73</v>
      </c>
      <c r="D5" s="13" t="s">
        <v>133</v>
      </c>
      <c r="E5" s="13" t="s">
        <v>853</v>
      </c>
      <c r="F5" s="13" t="s">
        <v>854</v>
      </c>
      <c r="G5" s="13" t="s">
        <v>834</v>
      </c>
      <c r="H5" s="13" t="s">
        <v>855</v>
      </c>
      <c r="I5" s="13" t="s">
        <v>856</v>
      </c>
      <c r="J5" s="13" t="s">
        <v>857</v>
      </c>
      <c r="K5" s="13" t="s">
        <v>858</v>
      </c>
      <c r="L5" s="13" t="s">
        <v>859</v>
      </c>
    </row>
    <row r="6" ht="40.5" spans="1:12">
      <c r="A6" s="24">
        <v>5</v>
      </c>
      <c r="B6" s="21" t="s">
        <v>132</v>
      </c>
      <c r="C6" s="21" t="s">
        <v>73</v>
      </c>
      <c r="D6" s="21" t="s">
        <v>133</v>
      </c>
      <c r="E6" s="21" t="s">
        <v>860</v>
      </c>
      <c r="F6" s="21" t="s">
        <v>861</v>
      </c>
      <c r="G6" s="21" t="s">
        <v>834</v>
      </c>
      <c r="H6" s="21" t="s">
        <v>848</v>
      </c>
      <c r="I6" s="21" t="s">
        <v>862</v>
      </c>
      <c r="J6" s="21" t="s">
        <v>863</v>
      </c>
      <c r="K6" s="21" t="s">
        <v>864</v>
      </c>
      <c r="L6" s="21" t="s">
        <v>865</v>
      </c>
    </row>
    <row r="7" ht="67.5" spans="1:12">
      <c r="A7" s="14">
        <v>6</v>
      </c>
      <c r="B7" s="13" t="s">
        <v>478</v>
      </c>
      <c r="C7" s="13" t="s">
        <v>153</v>
      </c>
      <c r="D7" s="13" t="s">
        <v>221</v>
      </c>
      <c r="E7" s="13" t="s">
        <v>866</v>
      </c>
      <c r="F7" s="13" t="s">
        <v>724</v>
      </c>
      <c r="G7" s="13" t="s">
        <v>867</v>
      </c>
      <c r="H7" s="13" t="s">
        <v>868</v>
      </c>
      <c r="I7" s="13" t="s">
        <v>869</v>
      </c>
      <c r="J7" s="13" t="s">
        <v>870</v>
      </c>
      <c r="K7" s="13" t="s">
        <v>871</v>
      </c>
      <c r="L7" s="13" t="s">
        <v>872</v>
      </c>
    </row>
    <row r="8" ht="67.5" spans="1:12">
      <c r="A8" s="24">
        <v>7</v>
      </c>
      <c r="B8" s="21" t="s">
        <v>730</v>
      </c>
      <c r="C8" s="21" t="s">
        <v>153</v>
      </c>
      <c r="D8" s="21" t="s">
        <v>221</v>
      </c>
      <c r="E8" s="21" t="s">
        <v>873</v>
      </c>
      <c r="F8" s="21" t="s">
        <v>729</v>
      </c>
      <c r="G8" s="21" t="s">
        <v>867</v>
      </c>
      <c r="H8" s="21" t="s">
        <v>842</v>
      </c>
      <c r="I8" s="21" t="s">
        <v>874</v>
      </c>
      <c r="J8" s="21" t="s">
        <v>875</v>
      </c>
      <c r="K8" s="21" t="s">
        <v>876</v>
      </c>
      <c r="L8" s="21" t="s">
        <v>877</v>
      </c>
    </row>
    <row r="9" ht="40.5" spans="1:12">
      <c r="A9" s="14">
        <v>8</v>
      </c>
      <c r="B9" s="13" t="s">
        <v>494</v>
      </c>
      <c r="C9" s="13" t="s">
        <v>153</v>
      </c>
      <c r="D9" s="13" t="s">
        <v>221</v>
      </c>
      <c r="E9" s="13" t="s">
        <v>878</v>
      </c>
      <c r="F9" s="13" t="s">
        <v>735</v>
      </c>
      <c r="G9" s="13" t="s">
        <v>867</v>
      </c>
      <c r="H9" s="13" t="s">
        <v>842</v>
      </c>
      <c r="I9" s="13" t="s">
        <v>879</v>
      </c>
      <c r="J9" s="13" t="s">
        <v>880</v>
      </c>
      <c r="K9" s="13" t="s">
        <v>881</v>
      </c>
      <c r="L9" s="13" t="s">
        <v>882</v>
      </c>
    </row>
    <row r="10" ht="40.5" spans="1:12">
      <c r="A10" s="24">
        <v>9</v>
      </c>
      <c r="B10" s="21" t="s">
        <v>741</v>
      </c>
      <c r="C10" s="21" t="s">
        <v>153</v>
      </c>
      <c r="D10" s="21" t="s">
        <v>221</v>
      </c>
      <c r="E10" s="21" t="s">
        <v>883</v>
      </c>
      <c r="F10" s="21" t="s">
        <v>740</v>
      </c>
      <c r="G10" s="21" t="s">
        <v>867</v>
      </c>
      <c r="H10" s="21" t="s">
        <v>884</v>
      </c>
      <c r="I10" s="21" t="s">
        <v>885</v>
      </c>
      <c r="J10" s="21" t="s">
        <v>886</v>
      </c>
      <c r="K10" s="21" t="s">
        <v>887</v>
      </c>
      <c r="L10" s="21" t="s">
        <v>888</v>
      </c>
    </row>
    <row r="11" ht="81" spans="1:12">
      <c r="A11" s="14">
        <v>10</v>
      </c>
      <c r="B11" s="13" t="s">
        <v>404</v>
      </c>
      <c r="C11" s="13" t="s">
        <v>73</v>
      </c>
      <c r="D11" s="13" t="s">
        <v>221</v>
      </c>
      <c r="E11" s="13" t="s">
        <v>889</v>
      </c>
      <c r="F11" s="13" t="s">
        <v>890</v>
      </c>
      <c r="G11" s="13" t="s">
        <v>867</v>
      </c>
      <c r="H11" s="13" t="s">
        <v>891</v>
      </c>
      <c r="I11" s="13" t="s">
        <v>892</v>
      </c>
      <c r="J11" s="13" t="s">
        <v>893</v>
      </c>
      <c r="K11" s="13" t="s">
        <v>894</v>
      </c>
      <c r="L11" s="13" t="s">
        <v>895</v>
      </c>
    </row>
    <row r="12" ht="67.5" spans="1:12">
      <c r="A12" s="24">
        <v>11</v>
      </c>
      <c r="B12" s="21" t="s">
        <v>382</v>
      </c>
      <c r="C12" s="21" t="s">
        <v>73</v>
      </c>
      <c r="D12" s="21" t="s">
        <v>221</v>
      </c>
      <c r="E12" s="21" t="s">
        <v>896</v>
      </c>
      <c r="F12" s="21" t="s">
        <v>751</v>
      </c>
      <c r="G12" s="21" t="s">
        <v>867</v>
      </c>
      <c r="H12" s="21" t="s">
        <v>75</v>
      </c>
      <c r="I12" s="21" t="s">
        <v>897</v>
      </c>
      <c r="J12" s="21" t="s">
        <v>898</v>
      </c>
      <c r="K12" s="21" t="s">
        <v>899</v>
      </c>
      <c r="L12" s="21" t="s">
        <v>900</v>
      </c>
    </row>
    <row r="13" ht="67.5" spans="1:12">
      <c r="A13" s="14">
        <v>12</v>
      </c>
      <c r="B13" s="13" t="s">
        <v>757</v>
      </c>
      <c r="C13" s="13" t="s">
        <v>73</v>
      </c>
      <c r="D13" s="13" t="s">
        <v>221</v>
      </c>
      <c r="E13" s="13" t="s">
        <v>901</v>
      </c>
      <c r="F13" s="13" t="s">
        <v>902</v>
      </c>
      <c r="G13" s="13" t="s">
        <v>867</v>
      </c>
      <c r="H13" s="13" t="s">
        <v>848</v>
      </c>
      <c r="I13" s="13" t="s">
        <v>903</v>
      </c>
      <c r="J13" s="13" t="s">
        <v>904</v>
      </c>
      <c r="K13" s="13" t="s">
        <v>905</v>
      </c>
      <c r="L13" s="13" t="s">
        <v>906</v>
      </c>
    </row>
    <row r="14" ht="40.5" spans="1:12">
      <c r="A14" s="24">
        <v>13</v>
      </c>
      <c r="B14" s="21" t="s">
        <v>91</v>
      </c>
      <c r="C14" s="21" t="s">
        <v>73</v>
      </c>
      <c r="D14" s="21" t="s">
        <v>221</v>
      </c>
      <c r="E14" s="21" t="s">
        <v>907</v>
      </c>
      <c r="F14" s="21" t="s">
        <v>762</v>
      </c>
      <c r="G14" s="21" t="s">
        <v>867</v>
      </c>
      <c r="H14" s="21" t="s">
        <v>908</v>
      </c>
      <c r="I14" s="21" t="s">
        <v>909</v>
      </c>
      <c r="J14" s="21" t="s">
        <v>910</v>
      </c>
      <c r="K14" s="21" t="s">
        <v>911</v>
      </c>
      <c r="L14" s="21" t="s">
        <v>912</v>
      </c>
    </row>
    <row r="15" ht="67.5" spans="1:12">
      <c r="A15" s="14">
        <v>14</v>
      </c>
      <c r="B15" s="13" t="s">
        <v>220</v>
      </c>
      <c r="C15" s="13" t="s">
        <v>73</v>
      </c>
      <c r="D15" s="13" t="s">
        <v>221</v>
      </c>
      <c r="E15" s="13" t="s">
        <v>913</v>
      </c>
      <c r="F15" s="13" t="s">
        <v>914</v>
      </c>
      <c r="G15" s="13" t="s">
        <v>867</v>
      </c>
      <c r="H15" s="13" t="s">
        <v>915</v>
      </c>
      <c r="I15" s="13" t="s">
        <v>916</v>
      </c>
      <c r="J15" s="13" t="s">
        <v>917</v>
      </c>
      <c r="K15" s="13" t="s">
        <v>918</v>
      </c>
      <c r="L15" s="13" t="s">
        <v>919</v>
      </c>
    </row>
    <row r="16" ht="67.5" spans="1:12">
      <c r="A16" s="24">
        <v>15</v>
      </c>
      <c r="B16" s="21" t="s">
        <v>773</v>
      </c>
      <c r="C16" s="21" t="s">
        <v>73</v>
      </c>
      <c r="D16" s="21" t="s">
        <v>221</v>
      </c>
      <c r="E16" s="21" t="s">
        <v>920</v>
      </c>
      <c r="F16" s="21" t="s">
        <v>772</v>
      </c>
      <c r="G16" s="21" t="s">
        <v>867</v>
      </c>
      <c r="H16" s="21" t="s">
        <v>921</v>
      </c>
      <c r="I16" s="21" t="s">
        <v>922</v>
      </c>
      <c r="J16" s="21" t="s">
        <v>774</v>
      </c>
      <c r="K16" s="21" t="s">
        <v>923</v>
      </c>
      <c r="L16" s="21" t="s">
        <v>924</v>
      </c>
    </row>
    <row r="17" ht="54" spans="1:12">
      <c r="A17" s="14">
        <v>16</v>
      </c>
      <c r="B17" s="13" t="s">
        <v>330</v>
      </c>
      <c r="C17" s="13" t="s">
        <v>73</v>
      </c>
      <c r="D17" s="13" t="s">
        <v>221</v>
      </c>
      <c r="E17" s="13" t="s">
        <v>925</v>
      </c>
      <c r="F17" s="13" t="s">
        <v>926</v>
      </c>
      <c r="G17" s="13" t="s">
        <v>867</v>
      </c>
      <c r="H17" s="13" t="s">
        <v>927</v>
      </c>
      <c r="I17" s="13" t="s">
        <v>928</v>
      </c>
      <c r="J17" s="13" t="s">
        <v>929</v>
      </c>
      <c r="K17" s="13" t="s">
        <v>930</v>
      </c>
      <c r="L17" s="13" t="s">
        <v>931</v>
      </c>
    </row>
  </sheetData>
  <conditionalFormatting sqref="J2:J17">
    <cfRule type="expression" dxfId="1" priority="1">
      <formula>ISNUMBER(SEARCH("已发现",J2))</formula>
    </cfRule>
    <cfRule type="expression" dxfId="4" priority="2">
      <formula>ISNUMBER(SEARCH("暂未发现",J2))</formula>
    </cfRule>
    <cfRule type="expression" dxfId="5" priority="3">
      <formula>OR(ISNUMBER(SEARCH("需补查",J2)),ISNUMBER(SEARCH("需复核",J2)))</formula>
    </cfRule>
  </conditionalFormatting>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workbookViewId="0">
      <selection activeCell="A1" sqref="A1"/>
    </sheetView>
  </sheetViews>
  <sheetFormatPr defaultColWidth="9" defaultRowHeight="13.5"/>
  <cols>
    <col min="1" max="1" width="7" customWidth="1"/>
    <col min="2" max="3" width="15" customWidth="1"/>
    <col min="4" max="4" width="19" customWidth="1"/>
    <col min="5" max="5" width="27" customWidth="1"/>
    <col min="6" max="6" width="52" customWidth="1"/>
    <col min="7" max="7" width="27" customWidth="1"/>
    <col min="8" max="8" width="16" customWidth="1"/>
    <col min="9" max="9" width="29" customWidth="1"/>
    <col min="10" max="10" width="9" customWidth="1"/>
    <col min="11" max="11" width="17" customWidth="1"/>
    <col min="12" max="12" width="12" customWidth="1"/>
    <col min="13" max="13" width="20" customWidth="1"/>
    <col min="14" max="14" width="42" customWidth="1"/>
    <col min="15" max="15" width="44" customWidth="1"/>
    <col min="16" max="16" width="48" customWidth="1"/>
    <col min="17" max="17" width="52" customWidth="1"/>
    <col min="18" max="18" width="9" customWidth="1"/>
    <col min="19" max="19" width="14" customWidth="1"/>
    <col min="20" max="20" width="34" customWidth="1"/>
    <col min="21" max="21" width="11" customWidth="1"/>
    <col min="22" max="22" width="14" customWidth="1"/>
    <col min="23" max="23" width="46" customWidth="1"/>
    <col min="24" max="24" width="26" customWidth="1"/>
    <col min="25" max="25" width="18" customWidth="1"/>
    <col min="26" max="26" width="32" customWidth="1"/>
  </cols>
  <sheetData>
    <row r="1" ht="34" customHeight="1" spans="1:26">
      <c r="A1" s="2" t="s">
        <v>42</v>
      </c>
      <c r="B1" s="6" t="s">
        <v>43</v>
      </c>
      <c r="C1" s="6" t="s">
        <v>44</v>
      </c>
      <c r="D1" s="2" t="s">
        <v>45</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c r="U1" s="2" t="s">
        <v>62</v>
      </c>
      <c r="V1" s="2" t="s">
        <v>63</v>
      </c>
      <c r="W1" s="2" t="s">
        <v>64</v>
      </c>
      <c r="X1" s="2" t="s">
        <v>65</v>
      </c>
      <c r="Y1" s="2" t="s">
        <v>66</v>
      </c>
      <c r="Z1" s="2" t="s">
        <v>67</v>
      </c>
    </row>
    <row r="2" ht="27" spans="1:26">
      <c r="A2" s="10">
        <v>1</v>
      </c>
      <c r="B2" s="25">
        <v>46204</v>
      </c>
      <c r="C2" s="25">
        <v>46239.4590277778</v>
      </c>
      <c r="D2" s="11" t="s">
        <v>68</v>
      </c>
      <c r="E2" s="11" t="s">
        <v>69</v>
      </c>
      <c r="F2" s="11" t="s">
        <v>70</v>
      </c>
      <c r="G2" s="11" t="s">
        <v>69</v>
      </c>
      <c r="H2" s="11" t="s">
        <v>71</v>
      </c>
      <c r="I2" s="11" t="s">
        <v>72</v>
      </c>
      <c r="J2" s="11" t="s">
        <v>73</v>
      </c>
      <c r="K2" s="11" t="s">
        <v>74</v>
      </c>
      <c r="L2" s="11" t="s">
        <v>75</v>
      </c>
      <c r="M2" s="11"/>
      <c r="N2" s="11" t="s">
        <v>76</v>
      </c>
      <c r="O2" s="11" t="s">
        <v>77</v>
      </c>
      <c r="P2" s="11" t="s">
        <v>78</v>
      </c>
      <c r="Q2" s="11" t="s">
        <v>79</v>
      </c>
      <c r="R2" s="11" t="s">
        <v>80</v>
      </c>
      <c r="S2" s="11" t="s">
        <v>81</v>
      </c>
      <c r="T2" s="11" t="s">
        <v>82</v>
      </c>
      <c r="U2" s="11" t="s">
        <v>83</v>
      </c>
      <c r="V2" s="11" t="s">
        <v>83</v>
      </c>
      <c r="W2" s="11" t="s">
        <v>84</v>
      </c>
      <c r="X2" s="11"/>
      <c r="Y2" s="11" t="s">
        <v>83</v>
      </c>
      <c r="Z2" s="10" t="s">
        <v>85</v>
      </c>
    </row>
    <row r="3" ht="27" spans="1:26">
      <c r="A3" s="3">
        <v>2</v>
      </c>
      <c r="B3" s="26">
        <v>46205</v>
      </c>
      <c r="C3" s="26">
        <v>46239.4590277778</v>
      </c>
      <c r="D3" s="4" t="s">
        <v>86</v>
      </c>
      <c r="E3" s="4" t="s">
        <v>87</v>
      </c>
      <c r="F3" s="4" t="s">
        <v>88</v>
      </c>
      <c r="G3" s="4" t="s">
        <v>89</v>
      </c>
      <c r="H3" s="4" t="s">
        <v>90</v>
      </c>
      <c r="I3" s="4" t="s">
        <v>91</v>
      </c>
      <c r="J3" s="4" t="s">
        <v>73</v>
      </c>
      <c r="K3" s="4" t="s">
        <v>92</v>
      </c>
      <c r="L3" s="4" t="s">
        <v>75</v>
      </c>
      <c r="M3" s="4"/>
      <c r="N3" s="4" t="s">
        <v>93</v>
      </c>
      <c r="O3" s="4" t="s">
        <v>94</v>
      </c>
      <c r="P3" s="4" t="s">
        <v>95</v>
      </c>
      <c r="Q3" s="4" t="s">
        <v>96</v>
      </c>
      <c r="R3" s="4" t="s">
        <v>80</v>
      </c>
      <c r="S3" s="4" t="s">
        <v>97</v>
      </c>
      <c r="T3" s="4" t="s">
        <v>98</v>
      </c>
      <c r="U3" s="4" t="s">
        <v>83</v>
      </c>
      <c r="V3" s="4" t="s">
        <v>83</v>
      </c>
      <c r="W3" s="4" t="s">
        <v>99</v>
      </c>
      <c r="X3" s="4"/>
      <c r="Y3" s="4" t="s">
        <v>83</v>
      </c>
      <c r="Z3" s="3" t="s">
        <v>85</v>
      </c>
    </row>
    <row r="4" ht="40.5" spans="1:26">
      <c r="A4" s="10">
        <v>3</v>
      </c>
      <c r="B4" s="25">
        <v>46206</v>
      </c>
      <c r="C4" s="25">
        <v>46239.4590277778</v>
      </c>
      <c r="D4" s="11" t="s">
        <v>86</v>
      </c>
      <c r="E4" s="11" t="s">
        <v>100</v>
      </c>
      <c r="F4" s="11" t="s">
        <v>101</v>
      </c>
      <c r="G4" s="11" t="s">
        <v>102</v>
      </c>
      <c r="H4" s="11" t="s">
        <v>90</v>
      </c>
      <c r="I4" s="11" t="s">
        <v>103</v>
      </c>
      <c r="J4" s="11" t="s">
        <v>73</v>
      </c>
      <c r="K4" s="11" t="s">
        <v>104</v>
      </c>
      <c r="L4" s="11" t="s">
        <v>75</v>
      </c>
      <c r="M4" s="11"/>
      <c r="N4" s="11" t="s">
        <v>105</v>
      </c>
      <c r="O4" s="11" t="s">
        <v>106</v>
      </c>
      <c r="P4" s="11" t="s">
        <v>107</v>
      </c>
      <c r="Q4" s="11" t="s">
        <v>108</v>
      </c>
      <c r="R4" s="11" t="s">
        <v>80</v>
      </c>
      <c r="S4" s="11" t="s">
        <v>97</v>
      </c>
      <c r="T4" s="11" t="s">
        <v>109</v>
      </c>
      <c r="U4" s="11" t="s">
        <v>83</v>
      </c>
      <c r="V4" s="11" t="s">
        <v>83</v>
      </c>
      <c r="W4" s="11" t="s">
        <v>110</v>
      </c>
      <c r="X4" s="11"/>
      <c r="Y4" s="11" t="s">
        <v>83</v>
      </c>
      <c r="Z4" s="10" t="s">
        <v>85</v>
      </c>
    </row>
    <row r="5" ht="40.5" spans="1:26">
      <c r="A5" s="3">
        <v>4</v>
      </c>
      <c r="B5" s="26">
        <v>46208</v>
      </c>
      <c r="C5" s="26">
        <v>46239.4590277778</v>
      </c>
      <c r="D5" s="4" t="s">
        <v>86</v>
      </c>
      <c r="E5" s="4" t="s">
        <v>100</v>
      </c>
      <c r="F5" s="4" t="s">
        <v>111</v>
      </c>
      <c r="G5" s="4" t="s">
        <v>100</v>
      </c>
      <c r="H5" s="4" t="s">
        <v>90</v>
      </c>
      <c r="I5" s="4" t="s">
        <v>112</v>
      </c>
      <c r="J5" s="4" t="s">
        <v>73</v>
      </c>
      <c r="K5" s="4" t="s">
        <v>104</v>
      </c>
      <c r="L5" s="4" t="s">
        <v>75</v>
      </c>
      <c r="M5" s="4"/>
      <c r="N5" s="4" t="s">
        <v>113</v>
      </c>
      <c r="O5" s="4" t="s">
        <v>114</v>
      </c>
      <c r="P5" s="4" t="s">
        <v>115</v>
      </c>
      <c r="Q5" s="4" t="s">
        <v>116</v>
      </c>
      <c r="R5" s="4" t="s">
        <v>80</v>
      </c>
      <c r="S5" s="4" t="s">
        <v>97</v>
      </c>
      <c r="T5" s="4" t="s">
        <v>117</v>
      </c>
      <c r="U5" s="4" t="s">
        <v>83</v>
      </c>
      <c r="V5" s="4" t="s">
        <v>83</v>
      </c>
      <c r="W5" s="4" t="s">
        <v>118</v>
      </c>
      <c r="X5" s="4"/>
      <c r="Y5" s="4" t="s">
        <v>83</v>
      </c>
      <c r="Z5" s="3" t="s">
        <v>85</v>
      </c>
    </row>
    <row r="6" ht="54" spans="1:26">
      <c r="A6" s="10">
        <v>5</v>
      </c>
      <c r="B6" s="25">
        <v>46208</v>
      </c>
      <c r="C6" s="25">
        <v>46239.4590277778</v>
      </c>
      <c r="D6" s="11" t="s">
        <v>86</v>
      </c>
      <c r="E6" s="11" t="s">
        <v>100</v>
      </c>
      <c r="F6" s="11" t="s">
        <v>119</v>
      </c>
      <c r="G6" s="11" t="s">
        <v>100</v>
      </c>
      <c r="H6" s="11" t="s">
        <v>90</v>
      </c>
      <c r="I6" s="11" t="s">
        <v>120</v>
      </c>
      <c r="J6" s="11" t="s">
        <v>73</v>
      </c>
      <c r="K6" s="11" t="s">
        <v>104</v>
      </c>
      <c r="L6" s="11" t="s">
        <v>75</v>
      </c>
      <c r="M6" s="11"/>
      <c r="N6" s="11" t="s">
        <v>121</v>
      </c>
      <c r="O6" s="11" t="s">
        <v>122</v>
      </c>
      <c r="P6" s="11" t="s">
        <v>123</v>
      </c>
      <c r="Q6" s="11" t="s">
        <v>124</v>
      </c>
      <c r="R6" s="11" t="s">
        <v>80</v>
      </c>
      <c r="S6" s="11" t="s">
        <v>97</v>
      </c>
      <c r="T6" s="11" t="s">
        <v>125</v>
      </c>
      <c r="U6" s="11" t="s">
        <v>83</v>
      </c>
      <c r="V6" s="11" t="s">
        <v>126</v>
      </c>
      <c r="W6" s="11" t="s">
        <v>127</v>
      </c>
      <c r="X6" s="11"/>
      <c r="Y6" s="11" t="s">
        <v>83</v>
      </c>
      <c r="Z6" s="10" t="s">
        <v>85</v>
      </c>
    </row>
    <row r="7" ht="40.5" spans="1:26">
      <c r="A7" s="3">
        <v>6</v>
      </c>
      <c r="B7" s="26">
        <v>46210</v>
      </c>
      <c r="C7" s="26">
        <v>46239.4590277778</v>
      </c>
      <c r="D7" s="4" t="s">
        <v>128</v>
      </c>
      <c r="E7" s="4" t="s">
        <v>129</v>
      </c>
      <c r="F7" s="4" t="s">
        <v>130</v>
      </c>
      <c r="G7" s="4" t="s">
        <v>131</v>
      </c>
      <c r="H7" s="4" t="s">
        <v>90</v>
      </c>
      <c r="I7" s="4" t="s">
        <v>132</v>
      </c>
      <c r="J7" s="4" t="s">
        <v>73</v>
      </c>
      <c r="K7" s="4" t="s">
        <v>133</v>
      </c>
      <c r="L7" s="4" t="s">
        <v>75</v>
      </c>
      <c r="M7" s="4"/>
      <c r="N7" s="4" t="s">
        <v>134</v>
      </c>
      <c r="O7" s="4" t="s">
        <v>135</v>
      </c>
      <c r="P7" s="4" t="s">
        <v>136</v>
      </c>
      <c r="Q7" s="4" t="s">
        <v>137</v>
      </c>
      <c r="R7" s="4" t="s">
        <v>80</v>
      </c>
      <c r="S7" s="4" t="s">
        <v>97</v>
      </c>
      <c r="T7" s="4" t="s">
        <v>138</v>
      </c>
      <c r="U7" s="4" t="s">
        <v>83</v>
      </c>
      <c r="V7" s="4" t="s">
        <v>83</v>
      </c>
      <c r="W7" s="4" t="s">
        <v>139</v>
      </c>
      <c r="X7" s="4"/>
      <c r="Y7" s="4" t="s">
        <v>83</v>
      </c>
      <c r="Z7" s="3" t="s">
        <v>85</v>
      </c>
    </row>
    <row r="8" ht="54" spans="1:26">
      <c r="A8" s="10">
        <v>7</v>
      </c>
      <c r="B8" s="25">
        <v>46210</v>
      </c>
      <c r="C8" s="25">
        <v>46239.4590277778</v>
      </c>
      <c r="D8" s="11" t="s">
        <v>140</v>
      </c>
      <c r="E8" s="11" t="s">
        <v>141</v>
      </c>
      <c r="F8" s="11" t="s">
        <v>142</v>
      </c>
      <c r="G8" s="11" t="s">
        <v>141</v>
      </c>
      <c r="H8" s="11" t="s">
        <v>90</v>
      </c>
      <c r="I8" s="11" t="s">
        <v>91</v>
      </c>
      <c r="J8" s="11" t="s">
        <v>73</v>
      </c>
      <c r="K8" s="11" t="s">
        <v>92</v>
      </c>
      <c r="L8" s="11" t="s">
        <v>75</v>
      </c>
      <c r="M8" s="11"/>
      <c r="N8" s="11" t="s">
        <v>143</v>
      </c>
      <c r="O8" s="11" t="s">
        <v>144</v>
      </c>
      <c r="P8" s="11" t="s">
        <v>145</v>
      </c>
      <c r="Q8" s="11" t="s">
        <v>146</v>
      </c>
      <c r="R8" s="11" t="s">
        <v>80</v>
      </c>
      <c r="S8" s="11" t="s">
        <v>97</v>
      </c>
      <c r="T8" s="11" t="s">
        <v>147</v>
      </c>
      <c r="U8" s="11" t="s">
        <v>83</v>
      </c>
      <c r="V8" s="11" t="s">
        <v>126</v>
      </c>
      <c r="W8" s="11" t="s">
        <v>148</v>
      </c>
      <c r="X8" s="11"/>
      <c r="Y8" s="11" t="s">
        <v>83</v>
      </c>
      <c r="Z8" s="10" t="s">
        <v>85</v>
      </c>
    </row>
    <row r="9" ht="67.5" spans="1:26">
      <c r="A9" s="3">
        <v>8</v>
      </c>
      <c r="B9" s="26">
        <v>46212.7298611111</v>
      </c>
      <c r="C9" s="26">
        <v>46239.4590277778</v>
      </c>
      <c r="D9" s="4" t="s">
        <v>128</v>
      </c>
      <c r="E9" s="4" t="s">
        <v>149</v>
      </c>
      <c r="F9" s="4" t="s">
        <v>150</v>
      </c>
      <c r="G9" s="4" t="s">
        <v>151</v>
      </c>
      <c r="H9" s="4" t="s">
        <v>90</v>
      </c>
      <c r="I9" s="4" t="s">
        <v>152</v>
      </c>
      <c r="J9" s="4" t="s">
        <v>153</v>
      </c>
      <c r="K9" s="4" t="s">
        <v>104</v>
      </c>
      <c r="L9" s="4" t="s">
        <v>75</v>
      </c>
      <c r="M9" s="4"/>
      <c r="N9" s="4" t="s">
        <v>154</v>
      </c>
      <c r="O9" s="4" t="s">
        <v>155</v>
      </c>
      <c r="P9" s="4" t="s">
        <v>156</v>
      </c>
      <c r="Q9" s="4" t="s">
        <v>157</v>
      </c>
      <c r="R9" s="4" t="s">
        <v>80</v>
      </c>
      <c r="S9" s="4" t="s">
        <v>97</v>
      </c>
      <c r="T9" s="4" t="s">
        <v>158</v>
      </c>
      <c r="U9" s="4" t="s">
        <v>83</v>
      </c>
      <c r="V9" s="4" t="s">
        <v>83</v>
      </c>
      <c r="W9" s="4" t="s">
        <v>159</v>
      </c>
      <c r="X9" s="4" t="s">
        <v>160</v>
      </c>
      <c r="Y9" s="4" t="s">
        <v>83</v>
      </c>
      <c r="Z9" s="3" t="s">
        <v>85</v>
      </c>
    </row>
    <row r="10" ht="27" spans="1:26">
      <c r="A10" s="10">
        <v>9</v>
      </c>
      <c r="B10" s="25">
        <v>46218</v>
      </c>
      <c r="C10" s="25">
        <v>46239.4590277778</v>
      </c>
      <c r="D10" s="11" t="s">
        <v>86</v>
      </c>
      <c r="E10" s="11" t="s">
        <v>161</v>
      </c>
      <c r="F10" s="11" t="s">
        <v>162</v>
      </c>
      <c r="G10" s="11" t="s">
        <v>163</v>
      </c>
      <c r="H10" s="11" t="s">
        <v>90</v>
      </c>
      <c r="I10" s="11" t="s">
        <v>164</v>
      </c>
      <c r="J10" s="11" t="s">
        <v>153</v>
      </c>
      <c r="K10" s="11" t="s">
        <v>133</v>
      </c>
      <c r="L10" s="11" t="s">
        <v>75</v>
      </c>
      <c r="M10" s="11"/>
      <c r="N10" s="11" t="s">
        <v>165</v>
      </c>
      <c r="O10" s="11" t="s">
        <v>166</v>
      </c>
      <c r="P10" s="11" t="s">
        <v>167</v>
      </c>
      <c r="Q10" s="11" t="s">
        <v>168</v>
      </c>
      <c r="R10" s="11" t="s">
        <v>80</v>
      </c>
      <c r="S10" s="11" t="s">
        <v>97</v>
      </c>
      <c r="T10" s="11" t="s">
        <v>169</v>
      </c>
      <c r="U10" s="11" t="s">
        <v>83</v>
      </c>
      <c r="V10" s="11" t="s">
        <v>83</v>
      </c>
      <c r="W10" s="11" t="s">
        <v>170</v>
      </c>
      <c r="X10" s="11"/>
      <c r="Y10" s="11" t="s">
        <v>83</v>
      </c>
      <c r="Z10" s="10" t="s">
        <v>85</v>
      </c>
    </row>
    <row r="11" ht="54" spans="1:26">
      <c r="A11" s="3">
        <v>10</v>
      </c>
      <c r="B11" s="26">
        <v>46226</v>
      </c>
      <c r="C11" s="26">
        <v>46239.4590277778</v>
      </c>
      <c r="D11" s="4" t="s">
        <v>171</v>
      </c>
      <c r="E11" s="4" t="s">
        <v>172</v>
      </c>
      <c r="F11" s="4" t="s">
        <v>173</v>
      </c>
      <c r="G11" s="4" t="s">
        <v>174</v>
      </c>
      <c r="H11" s="4" t="s">
        <v>175</v>
      </c>
      <c r="I11" s="4" t="s">
        <v>176</v>
      </c>
      <c r="J11" s="4" t="s">
        <v>73</v>
      </c>
      <c r="K11" s="4" t="s">
        <v>104</v>
      </c>
      <c r="L11" s="4" t="s">
        <v>75</v>
      </c>
      <c r="M11" s="4"/>
      <c r="N11" s="4" t="s">
        <v>177</v>
      </c>
      <c r="O11" s="4" t="s">
        <v>178</v>
      </c>
      <c r="P11" s="4" t="s">
        <v>179</v>
      </c>
      <c r="Q11" s="4" t="s">
        <v>180</v>
      </c>
      <c r="R11" s="4" t="s">
        <v>80</v>
      </c>
      <c r="S11" s="4" t="s">
        <v>81</v>
      </c>
      <c r="T11" s="4" t="s">
        <v>181</v>
      </c>
      <c r="U11" s="4" t="s">
        <v>182</v>
      </c>
      <c r="V11" s="4" t="s">
        <v>83</v>
      </c>
      <c r="W11" s="4" t="s">
        <v>183</v>
      </c>
      <c r="X11" s="4" t="s">
        <v>184</v>
      </c>
      <c r="Y11" s="4" t="s">
        <v>83</v>
      </c>
      <c r="Z11" s="3" t="s">
        <v>85</v>
      </c>
    </row>
    <row r="12" ht="40.5" spans="1:26">
      <c r="A12" s="10">
        <v>11</v>
      </c>
      <c r="B12" s="25">
        <v>46226.7</v>
      </c>
      <c r="C12" s="25">
        <v>46239.5166666667</v>
      </c>
      <c r="D12" s="11" t="s">
        <v>185</v>
      </c>
      <c r="E12" s="11" t="s">
        <v>186</v>
      </c>
      <c r="F12" s="11" t="s">
        <v>187</v>
      </c>
      <c r="G12" s="11" t="s">
        <v>188</v>
      </c>
      <c r="H12" s="11" t="s">
        <v>90</v>
      </c>
      <c r="I12" s="11" t="s">
        <v>164</v>
      </c>
      <c r="J12" s="11" t="s">
        <v>153</v>
      </c>
      <c r="K12" s="11" t="s">
        <v>133</v>
      </c>
      <c r="L12" s="11" t="s">
        <v>75</v>
      </c>
      <c r="M12" s="11"/>
      <c r="N12" s="11" t="s">
        <v>189</v>
      </c>
      <c r="O12" s="11" t="s">
        <v>190</v>
      </c>
      <c r="P12" s="11" t="s">
        <v>191</v>
      </c>
      <c r="Q12" s="11" t="s">
        <v>192</v>
      </c>
      <c r="R12" s="11" t="s">
        <v>80</v>
      </c>
      <c r="S12" s="11" t="s">
        <v>97</v>
      </c>
      <c r="T12" s="11" t="s">
        <v>193</v>
      </c>
      <c r="U12" s="11" t="s">
        <v>194</v>
      </c>
      <c r="V12" s="11" t="s">
        <v>126</v>
      </c>
      <c r="W12" s="11" t="s">
        <v>195</v>
      </c>
      <c r="X12" s="11"/>
      <c r="Y12" s="11" t="s">
        <v>83</v>
      </c>
      <c r="Z12" s="10" t="s">
        <v>196</v>
      </c>
    </row>
    <row r="13" ht="27" spans="1:26">
      <c r="A13" s="3">
        <v>12</v>
      </c>
      <c r="B13" s="26">
        <v>46227.6993055556</v>
      </c>
      <c r="C13" s="26">
        <v>46239.5166666667</v>
      </c>
      <c r="D13" s="4" t="s">
        <v>185</v>
      </c>
      <c r="E13" s="4" t="s">
        <v>197</v>
      </c>
      <c r="F13" s="4" t="s">
        <v>198</v>
      </c>
      <c r="G13" s="4" t="s">
        <v>199</v>
      </c>
      <c r="H13" s="4" t="s">
        <v>90</v>
      </c>
      <c r="I13" s="4" t="s">
        <v>200</v>
      </c>
      <c r="J13" s="4" t="s">
        <v>73</v>
      </c>
      <c r="K13" s="4" t="s">
        <v>133</v>
      </c>
      <c r="L13" s="4" t="s">
        <v>75</v>
      </c>
      <c r="M13" s="4"/>
      <c r="N13" s="4" t="s">
        <v>201</v>
      </c>
      <c r="O13" s="4" t="s">
        <v>202</v>
      </c>
      <c r="P13" s="4" t="s">
        <v>203</v>
      </c>
      <c r="Q13" s="4" t="s">
        <v>192</v>
      </c>
      <c r="R13" s="4" t="s">
        <v>80</v>
      </c>
      <c r="S13" s="4" t="s">
        <v>97</v>
      </c>
      <c r="T13" s="4" t="s">
        <v>204</v>
      </c>
      <c r="U13" s="4" t="s">
        <v>205</v>
      </c>
      <c r="V13" s="4" t="s">
        <v>126</v>
      </c>
      <c r="W13" s="4" t="s">
        <v>206</v>
      </c>
      <c r="X13" s="4"/>
      <c r="Y13" s="4" t="s">
        <v>83</v>
      </c>
      <c r="Z13" s="3" t="s">
        <v>207</v>
      </c>
    </row>
    <row r="14" ht="27" spans="1:26">
      <c r="A14" s="10">
        <v>13</v>
      </c>
      <c r="B14" s="25">
        <v>46231</v>
      </c>
      <c r="C14" s="25">
        <v>46239.4590277778</v>
      </c>
      <c r="D14" s="11" t="s">
        <v>86</v>
      </c>
      <c r="E14" s="11" t="s">
        <v>161</v>
      </c>
      <c r="F14" s="11" t="s">
        <v>208</v>
      </c>
      <c r="G14" s="11" t="s">
        <v>209</v>
      </c>
      <c r="H14" s="11" t="s">
        <v>90</v>
      </c>
      <c r="I14" s="11" t="s">
        <v>164</v>
      </c>
      <c r="J14" s="11" t="s">
        <v>153</v>
      </c>
      <c r="K14" s="11" t="s">
        <v>133</v>
      </c>
      <c r="L14" s="11" t="s">
        <v>75</v>
      </c>
      <c r="M14" s="11"/>
      <c r="N14" s="11" t="s">
        <v>210</v>
      </c>
      <c r="O14" s="11" t="s">
        <v>211</v>
      </c>
      <c r="P14" s="11" t="s">
        <v>212</v>
      </c>
      <c r="Q14" s="11" t="s">
        <v>213</v>
      </c>
      <c r="R14" s="11" t="s">
        <v>80</v>
      </c>
      <c r="S14" s="11" t="s">
        <v>97</v>
      </c>
      <c r="T14" s="11" t="s">
        <v>214</v>
      </c>
      <c r="U14" s="11" t="s">
        <v>83</v>
      </c>
      <c r="V14" s="11" t="s">
        <v>83</v>
      </c>
      <c r="W14" s="11" t="s">
        <v>215</v>
      </c>
      <c r="X14" s="11"/>
      <c r="Y14" s="11" t="s">
        <v>83</v>
      </c>
      <c r="Z14" s="10" t="s">
        <v>85</v>
      </c>
    </row>
    <row r="15" ht="54" spans="1:26">
      <c r="A15" s="3">
        <v>14</v>
      </c>
      <c r="B15" s="26">
        <v>46232</v>
      </c>
      <c r="C15" s="26">
        <v>46239.4590277778</v>
      </c>
      <c r="D15" s="4" t="s">
        <v>216</v>
      </c>
      <c r="E15" s="4" t="s">
        <v>217</v>
      </c>
      <c r="F15" s="4" t="s">
        <v>218</v>
      </c>
      <c r="G15" s="4" t="s">
        <v>219</v>
      </c>
      <c r="H15" s="4" t="s">
        <v>90</v>
      </c>
      <c r="I15" s="4" t="s">
        <v>220</v>
      </c>
      <c r="J15" s="4" t="s">
        <v>73</v>
      </c>
      <c r="K15" s="4" t="s">
        <v>221</v>
      </c>
      <c r="L15" s="4" t="s">
        <v>75</v>
      </c>
      <c r="M15" s="4"/>
      <c r="N15" s="4" t="s">
        <v>222</v>
      </c>
      <c r="O15" s="4" t="s">
        <v>223</v>
      </c>
      <c r="P15" s="4" t="s">
        <v>224</v>
      </c>
      <c r="Q15" s="4" t="s">
        <v>225</v>
      </c>
      <c r="R15" s="4" t="s">
        <v>80</v>
      </c>
      <c r="S15" s="4" t="s">
        <v>97</v>
      </c>
      <c r="T15" s="4" t="s">
        <v>226</v>
      </c>
      <c r="U15" s="4" t="s">
        <v>83</v>
      </c>
      <c r="V15" s="4" t="s">
        <v>83</v>
      </c>
      <c r="W15" s="4" t="s">
        <v>227</v>
      </c>
      <c r="X15" s="4"/>
      <c r="Y15" s="4" t="s">
        <v>83</v>
      </c>
      <c r="Z15" s="3" t="s">
        <v>85</v>
      </c>
    </row>
    <row r="16" ht="40.5" spans="1:26">
      <c r="A16" s="3">
        <v>15</v>
      </c>
      <c r="B16" s="26">
        <v>46233.6826388889</v>
      </c>
      <c r="C16" s="26">
        <v>46239.5166666667</v>
      </c>
      <c r="D16" s="4" t="s">
        <v>185</v>
      </c>
      <c r="E16" s="4" t="s">
        <v>228</v>
      </c>
      <c r="F16" s="4" t="s">
        <v>229</v>
      </c>
      <c r="G16" s="4" t="s">
        <v>230</v>
      </c>
      <c r="H16" s="4" t="s">
        <v>90</v>
      </c>
      <c r="I16" s="4" t="s">
        <v>231</v>
      </c>
      <c r="J16" s="4" t="s">
        <v>153</v>
      </c>
      <c r="K16" s="4" t="s">
        <v>232</v>
      </c>
      <c r="L16" s="4" t="s">
        <v>75</v>
      </c>
      <c r="M16" s="4"/>
      <c r="N16" s="4" t="s">
        <v>233</v>
      </c>
      <c r="O16" s="4" t="s">
        <v>234</v>
      </c>
      <c r="P16" s="4" t="s">
        <v>235</v>
      </c>
      <c r="Q16" s="4" t="s">
        <v>192</v>
      </c>
      <c r="R16" s="4" t="s">
        <v>80</v>
      </c>
      <c r="S16" s="4" t="s">
        <v>97</v>
      </c>
      <c r="T16" s="4" t="s">
        <v>236</v>
      </c>
      <c r="U16" s="4" t="s">
        <v>83</v>
      </c>
      <c r="V16" s="4" t="s">
        <v>126</v>
      </c>
      <c r="W16" s="4" t="s">
        <v>237</v>
      </c>
      <c r="X16" s="4"/>
      <c r="Y16" s="4" t="s">
        <v>83</v>
      </c>
      <c r="Z16" s="3" t="s">
        <v>238</v>
      </c>
    </row>
    <row r="17" ht="40.5" spans="1:26">
      <c r="A17" s="3">
        <v>16</v>
      </c>
      <c r="B17" s="26"/>
      <c r="C17" s="26">
        <v>46239.5166666667</v>
      </c>
      <c r="D17" s="4" t="s">
        <v>185</v>
      </c>
      <c r="E17" s="4" t="s">
        <v>197</v>
      </c>
      <c r="F17" s="4" t="s">
        <v>239</v>
      </c>
      <c r="G17" s="4" t="s">
        <v>199</v>
      </c>
      <c r="H17" s="4" t="s">
        <v>90</v>
      </c>
      <c r="I17" s="4" t="s">
        <v>200</v>
      </c>
      <c r="J17" s="4" t="s">
        <v>73</v>
      </c>
      <c r="K17" s="4" t="s">
        <v>133</v>
      </c>
      <c r="L17" s="4" t="s">
        <v>75</v>
      </c>
      <c r="M17" s="4"/>
      <c r="N17" s="4" t="s">
        <v>240</v>
      </c>
      <c r="O17" s="4" t="s">
        <v>241</v>
      </c>
      <c r="P17" s="4" t="s">
        <v>242</v>
      </c>
      <c r="Q17" s="4" t="s">
        <v>192</v>
      </c>
      <c r="R17" s="4" t="s">
        <v>80</v>
      </c>
      <c r="S17" s="4" t="s">
        <v>97</v>
      </c>
      <c r="T17" s="4" t="s">
        <v>243</v>
      </c>
      <c r="U17" s="4" t="s">
        <v>83</v>
      </c>
      <c r="V17" s="4" t="s">
        <v>126</v>
      </c>
      <c r="W17" s="4" t="s">
        <v>244</v>
      </c>
      <c r="X17" s="4"/>
      <c r="Y17" s="4" t="s">
        <v>83</v>
      </c>
      <c r="Z17" s="3" t="s">
        <v>245</v>
      </c>
    </row>
    <row r="18" ht="27" spans="1:26">
      <c r="A18" s="3">
        <v>17</v>
      </c>
      <c r="B18" s="27"/>
      <c r="C18" s="27">
        <v>46239.5166666667</v>
      </c>
      <c r="D18" s="3" t="s">
        <v>185</v>
      </c>
      <c r="E18" s="3" t="s">
        <v>246</v>
      </c>
      <c r="F18" s="3" t="s">
        <v>247</v>
      </c>
      <c r="G18" s="3" t="s">
        <v>248</v>
      </c>
      <c r="H18" s="3" t="s">
        <v>90</v>
      </c>
      <c r="I18" s="3" t="s">
        <v>249</v>
      </c>
      <c r="J18" s="3" t="s">
        <v>153</v>
      </c>
      <c r="K18" s="3" t="s">
        <v>133</v>
      </c>
      <c r="L18" s="3" t="s">
        <v>75</v>
      </c>
      <c r="M18" s="3"/>
      <c r="N18" s="3" t="s">
        <v>250</v>
      </c>
      <c r="O18" s="3" t="s">
        <v>251</v>
      </c>
      <c r="P18" s="3" t="s">
        <v>252</v>
      </c>
      <c r="Q18" s="3" t="s">
        <v>192</v>
      </c>
      <c r="R18" s="3" t="s">
        <v>80</v>
      </c>
      <c r="S18" s="3" t="s">
        <v>97</v>
      </c>
      <c r="T18" s="3" t="s">
        <v>253</v>
      </c>
      <c r="U18" s="3" t="s">
        <v>83</v>
      </c>
      <c r="V18" s="3" t="s">
        <v>126</v>
      </c>
      <c r="W18" s="3" t="s">
        <v>254</v>
      </c>
      <c r="X18" s="3"/>
      <c r="Y18" s="3" t="s">
        <v>83</v>
      </c>
      <c r="Z18" s="3" t="s">
        <v>255</v>
      </c>
    </row>
    <row r="19" spans="1:26">
      <c r="A19">
        <v>18</v>
      </c>
      <c r="B19" s="28">
        <v>46205</v>
      </c>
      <c r="C19" s="28">
        <v>46239.8118055556</v>
      </c>
      <c r="D19" t="s">
        <v>256</v>
      </c>
      <c r="E19" t="s">
        <v>257</v>
      </c>
      <c r="F19" t="s">
        <v>258</v>
      </c>
      <c r="G19" t="s">
        <v>259</v>
      </c>
      <c r="H19" t="s">
        <v>260</v>
      </c>
      <c r="I19" t="s">
        <v>132</v>
      </c>
      <c r="J19" t="s">
        <v>73</v>
      </c>
      <c r="K19" t="s">
        <v>133</v>
      </c>
      <c r="L19" t="s">
        <v>261</v>
      </c>
      <c r="N19" t="s">
        <v>262</v>
      </c>
      <c r="O19" t="s">
        <v>263</v>
      </c>
      <c r="P19" t="s">
        <v>264</v>
      </c>
      <c r="Q19" t="s">
        <v>265</v>
      </c>
      <c r="R19" t="s">
        <v>80</v>
      </c>
      <c r="S19" t="s">
        <v>266</v>
      </c>
      <c r="T19" t="s">
        <v>267</v>
      </c>
      <c r="U19" t="s">
        <v>83</v>
      </c>
      <c r="V19" t="s">
        <v>126</v>
      </c>
      <c r="W19" t="s">
        <v>268</v>
      </c>
      <c r="Y19" t="s">
        <v>83</v>
      </c>
      <c r="Z19" t="s">
        <v>269</v>
      </c>
    </row>
    <row r="20" spans="1:26">
      <c r="A20">
        <v>19</v>
      </c>
      <c r="B20" s="28">
        <v>46213</v>
      </c>
      <c r="C20" s="28">
        <v>46239.8118055556</v>
      </c>
      <c r="D20" t="s">
        <v>256</v>
      </c>
      <c r="E20" t="s">
        <v>257</v>
      </c>
      <c r="F20" t="s">
        <v>270</v>
      </c>
      <c r="G20" t="s">
        <v>271</v>
      </c>
      <c r="H20" t="s">
        <v>260</v>
      </c>
      <c r="I20" t="s">
        <v>272</v>
      </c>
      <c r="J20" t="s">
        <v>73</v>
      </c>
      <c r="K20" t="s">
        <v>221</v>
      </c>
      <c r="L20" t="s">
        <v>75</v>
      </c>
      <c r="N20" t="s">
        <v>273</v>
      </c>
      <c r="O20" t="s">
        <v>274</v>
      </c>
      <c r="P20" t="s">
        <v>275</v>
      </c>
      <c r="Q20" t="s">
        <v>276</v>
      </c>
      <c r="R20" t="s">
        <v>80</v>
      </c>
      <c r="S20" t="s">
        <v>266</v>
      </c>
      <c r="T20" t="s">
        <v>277</v>
      </c>
      <c r="U20" t="s">
        <v>83</v>
      </c>
      <c r="V20" t="s">
        <v>126</v>
      </c>
      <c r="W20" t="s">
        <v>278</v>
      </c>
      <c r="Y20" t="s">
        <v>83</v>
      </c>
      <c r="Z20" t="s">
        <v>269</v>
      </c>
    </row>
    <row r="21" spans="1:26">
      <c r="A21">
        <v>20</v>
      </c>
      <c r="B21" s="28">
        <v>46219</v>
      </c>
      <c r="C21" s="28">
        <v>46239.8118055556</v>
      </c>
      <c r="D21" t="s">
        <v>256</v>
      </c>
      <c r="E21" t="s">
        <v>257</v>
      </c>
      <c r="F21" t="s">
        <v>279</v>
      </c>
      <c r="G21" t="s">
        <v>271</v>
      </c>
      <c r="H21" t="s">
        <v>260</v>
      </c>
      <c r="I21" t="s">
        <v>272</v>
      </c>
      <c r="J21" t="s">
        <v>73</v>
      </c>
      <c r="K21" t="s">
        <v>221</v>
      </c>
      <c r="L21" t="s">
        <v>75</v>
      </c>
      <c r="N21" t="s">
        <v>280</v>
      </c>
      <c r="O21" t="s">
        <v>281</v>
      </c>
      <c r="P21" t="s">
        <v>275</v>
      </c>
      <c r="Q21" t="s">
        <v>276</v>
      </c>
      <c r="R21" t="s">
        <v>80</v>
      </c>
      <c r="S21" t="s">
        <v>266</v>
      </c>
      <c r="T21" t="s">
        <v>277</v>
      </c>
      <c r="U21" t="s">
        <v>83</v>
      </c>
      <c r="V21" t="s">
        <v>126</v>
      </c>
      <c r="W21" t="s">
        <v>282</v>
      </c>
      <c r="Y21" t="s">
        <v>83</v>
      </c>
      <c r="Z21" t="s">
        <v>269</v>
      </c>
    </row>
    <row r="22" spans="1:26">
      <c r="A22">
        <v>21</v>
      </c>
      <c r="B22" s="28">
        <v>46205</v>
      </c>
      <c r="C22" s="28">
        <v>46239.8118055556</v>
      </c>
      <c r="D22" t="s">
        <v>256</v>
      </c>
      <c r="E22" t="s">
        <v>257</v>
      </c>
      <c r="F22" t="s">
        <v>283</v>
      </c>
      <c r="G22" t="s">
        <v>271</v>
      </c>
      <c r="H22" t="s">
        <v>260</v>
      </c>
      <c r="I22" t="s">
        <v>272</v>
      </c>
      <c r="J22" t="s">
        <v>73</v>
      </c>
      <c r="K22" t="s">
        <v>221</v>
      </c>
      <c r="L22" t="s">
        <v>75</v>
      </c>
      <c r="N22" t="s">
        <v>284</v>
      </c>
      <c r="O22" t="s">
        <v>285</v>
      </c>
      <c r="P22" t="s">
        <v>286</v>
      </c>
      <c r="Q22" t="s">
        <v>276</v>
      </c>
      <c r="R22" t="s">
        <v>80</v>
      </c>
      <c r="S22" t="s">
        <v>266</v>
      </c>
      <c r="T22" t="s">
        <v>287</v>
      </c>
      <c r="U22" t="s">
        <v>83</v>
      </c>
      <c r="V22" t="s">
        <v>126</v>
      </c>
      <c r="W22" t="s">
        <v>288</v>
      </c>
      <c r="Y22" t="s">
        <v>83</v>
      </c>
      <c r="Z22" t="s">
        <v>269</v>
      </c>
    </row>
    <row r="23" spans="1:26">
      <c r="A23">
        <v>22</v>
      </c>
      <c r="B23" s="28">
        <v>46224.8291666667</v>
      </c>
      <c r="C23" s="28">
        <v>46239.8118055556</v>
      </c>
      <c r="D23" t="s">
        <v>289</v>
      </c>
      <c r="E23" t="s">
        <v>290</v>
      </c>
      <c r="F23" t="s">
        <v>291</v>
      </c>
      <c r="G23" t="s">
        <v>292</v>
      </c>
      <c r="H23" t="s">
        <v>260</v>
      </c>
      <c r="I23" t="s">
        <v>220</v>
      </c>
      <c r="J23" t="s">
        <v>73</v>
      </c>
      <c r="K23" t="s">
        <v>221</v>
      </c>
      <c r="L23" t="s">
        <v>75</v>
      </c>
      <c r="N23" t="s">
        <v>293</v>
      </c>
      <c r="O23" t="s">
        <v>294</v>
      </c>
      <c r="P23" t="s">
        <v>295</v>
      </c>
      <c r="Q23" t="s">
        <v>276</v>
      </c>
      <c r="R23" t="s">
        <v>80</v>
      </c>
      <c r="S23" t="s">
        <v>266</v>
      </c>
      <c r="T23" t="s">
        <v>287</v>
      </c>
      <c r="U23" t="s">
        <v>296</v>
      </c>
      <c r="V23" t="s">
        <v>126</v>
      </c>
      <c r="W23" t="s">
        <v>297</v>
      </c>
      <c r="Y23" t="s">
        <v>83</v>
      </c>
      <c r="Z23" t="s">
        <v>269</v>
      </c>
    </row>
    <row r="24" spans="1:26">
      <c r="A24">
        <v>23</v>
      </c>
      <c r="B24" s="28">
        <v>46233</v>
      </c>
      <c r="C24" s="28">
        <v>46239.8118055556</v>
      </c>
      <c r="D24" t="s">
        <v>256</v>
      </c>
      <c r="E24" t="s">
        <v>257</v>
      </c>
      <c r="F24" t="s">
        <v>298</v>
      </c>
      <c r="G24" t="s">
        <v>299</v>
      </c>
      <c r="H24" t="s">
        <v>260</v>
      </c>
      <c r="I24" t="s">
        <v>220</v>
      </c>
      <c r="J24" t="s">
        <v>73</v>
      </c>
      <c r="K24" t="s">
        <v>221</v>
      </c>
      <c r="L24" t="s">
        <v>75</v>
      </c>
      <c r="N24" t="s">
        <v>300</v>
      </c>
      <c r="O24" t="s">
        <v>301</v>
      </c>
      <c r="P24" t="s">
        <v>302</v>
      </c>
      <c r="Q24" t="s">
        <v>276</v>
      </c>
      <c r="R24" t="s">
        <v>80</v>
      </c>
      <c r="S24" t="s">
        <v>266</v>
      </c>
      <c r="T24" t="s">
        <v>287</v>
      </c>
      <c r="U24" t="s">
        <v>83</v>
      </c>
      <c r="V24" t="s">
        <v>126</v>
      </c>
      <c r="W24" t="s">
        <v>303</v>
      </c>
      <c r="Y24" t="s">
        <v>83</v>
      </c>
      <c r="Z24" t="s">
        <v>269</v>
      </c>
    </row>
    <row r="25" spans="1:26">
      <c r="A25">
        <v>24</v>
      </c>
      <c r="B25" s="28">
        <v>46216</v>
      </c>
      <c r="C25" s="28">
        <v>46239.8118055556</v>
      </c>
      <c r="D25" t="s">
        <v>256</v>
      </c>
      <c r="E25" t="s">
        <v>257</v>
      </c>
      <c r="F25" t="s">
        <v>304</v>
      </c>
      <c r="G25" t="s">
        <v>305</v>
      </c>
      <c r="H25" t="s">
        <v>260</v>
      </c>
      <c r="I25" t="s">
        <v>220</v>
      </c>
      <c r="J25" t="s">
        <v>73</v>
      </c>
      <c r="K25" t="s">
        <v>221</v>
      </c>
      <c r="L25" t="s">
        <v>75</v>
      </c>
      <c r="N25" t="s">
        <v>306</v>
      </c>
      <c r="O25" t="s">
        <v>301</v>
      </c>
      <c r="P25" t="s">
        <v>307</v>
      </c>
      <c r="Q25" t="s">
        <v>276</v>
      </c>
      <c r="R25" t="s">
        <v>80</v>
      </c>
      <c r="S25" t="s">
        <v>266</v>
      </c>
      <c r="T25" t="s">
        <v>308</v>
      </c>
      <c r="U25" t="s">
        <v>83</v>
      </c>
      <c r="V25" t="s">
        <v>126</v>
      </c>
      <c r="W25" t="s">
        <v>309</v>
      </c>
      <c r="Y25" t="s">
        <v>83</v>
      </c>
      <c r="Z25" t="s">
        <v>269</v>
      </c>
    </row>
    <row r="26" spans="1:26">
      <c r="A26">
        <v>25</v>
      </c>
      <c r="B26" s="28">
        <v>46232</v>
      </c>
      <c r="C26" s="28">
        <v>46239.8118055556</v>
      </c>
      <c r="D26" t="s">
        <v>256</v>
      </c>
      <c r="E26" t="s">
        <v>257</v>
      </c>
      <c r="F26" t="s">
        <v>310</v>
      </c>
      <c r="G26" t="s">
        <v>305</v>
      </c>
      <c r="H26" t="s">
        <v>260</v>
      </c>
      <c r="I26" t="s">
        <v>220</v>
      </c>
      <c r="J26" t="s">
        <v>73</v>
      </c>
      <c r="K26" t="s">
        <v>221</v>
      </c>
      <c r="L26" t="s">
        <v>75</v>
      </c>
      <c r="N26" t="s">
        <v>311</v>
      </c>
      <c r="O26" t="s">
        <v>294</v>
      </c>
      <c r="P26" t="s">
        <v>307</v>
      </c>
      <c r="Q26" t="s">
        <v>276</v>
      </c>
      <c r="R26" t="s">
        <v>80</v>
      </c>
      <c r="S26" t="s">
        <v>266</v>
      </c>
      <c r="T26" t="s">
        <v>308</v>
      </c>
      <c r="U26" t="s">
        <v>83</v>
      </c>
      <c r="V26" t="s">
        <v>126</v>
      </c>
      <c r="W26" t="s">
        <v>312</v>
      </c>
      <c r="Y26" t="s">
        <v>83</v>
      </c>
      <c r="Z26" t="s">
        <v>269</v>
      </c>
    </row>
    <row r="27" spans="1:26">
      <c r="A27">
        <v>26</v>
      </c>
      <c r="B27" s="28">
        <v>46225</v>
      </c>
      <c r="C27" s="28">
        <v>46239.8118055556</v>
      </c>
      <c r="D27" t="s">
        <v>256</v>
      </c>
      <c r="E27" t="s">
        <v>257</v>
      </c>
      <c r="F27" t="s">
        <v>313</v>
      </c>
      <c r="G27" t="s">
        <v>305</v>
      </c>
      <c r="H27" t="s">
        <v>260</v>
      </c>
      <c r="I27" t="s">
        <v>220</v>
      </c>
      <c r="J27" t="s">
        <v>73</v>
      </c>
      <c r="K27" t="s">
        <v>221</v>
      </c>
      <c r="L27" t="s">
        <v>75</v>
      </c>
      <c r="N27" t="s">
        <v>314</v>
      </c>
      <c r="O27" t="s">
        <v>301</v>
      </c>
      <c r="P27" t="s">
        <v>307</v>
      </c>
      <c r="Q27" t="s">
        <v>276</v>
      </c>
      <c r="R27" t="s">
        <v>80</v>
      </c>
      <c r="S27" t="s">
        <v>266</v>
      </c>
      <c r="T27" t="s">
        <v>308</v>
      </c>
      <c r="U27" t="s">
        <v>83</v>
      </c>
      <c r="V27" t="s">
        <v>126</v>
      </c>
      <c r="W27" t="s">
        <v>309</v>
      </c>
      <c r="Y27" t="s">
        <v>83</v>
      </c>
      <c r="Z27" t="s">
        <v>269</v>
      </c>
    </row>
    <row r="28" spans="1:26">
      <c r="A28">
        <v>27</v>
      </c>
      <c r="B28" s="28">
        <v>46213</v>
      </c>
      <c r="C28" s="28">
        <v>46239.8118055556</v>
      </c>
      <c r="D28" t="s">
        <v>256</v>
      </c>
      <c r="E28" t="s">
        <v>257</v>
      </c>
      <c r="F28" t="s">
        <v>315</v>
      </c>
      <c r="G28" t="s">
        <v>299</v>
      </c>
      <c r="H28" t="s">
        <v>260</v>
      </c>
      <c r="I28" t="s">
        <v>220</v>
      </c>
      <c r="J28" t="s">
        <v>73</v>
      </c>
      <c r="K28" t="s">
        <v>221</v>
      </c>
      <c r="L28" t="s">
        <v>75</v>
      </c>
      <c r="N28" t="s">
        <v>316</v>
      </c>
      <c r="O28" t="s">
        <v>301</v>
      </c>
      <c r="P28" t="s">
        <v>317</v>
      </c>
      <c r="Q28" t="s">
        <v>276</v>
      </c>
      <c r="R28" t="s">
        <v>80</v>
      </c>
      <c r="S28" t="s">
        <v>266</v>
      </c>
      <c r="T28" t="s">
        <v>267</v>
      </c>
      <c r="U28" t="s">
        <v>83</v>
      </c>
      <c r="V28" t="s">
        <v>126</v>
      </c>
      <c r="W28" t="s">
        <v>318</v>
      </c>
      <c r="Y28" t="s">
        <v>83</v>
      </c>
      <c r="Z28" t="s">
        <v>269</v>
      </c>
    </row>
    <row r="29" spans="1:26">
      <c r="A29">
        <v>28</v>
      </c>
      <c r="B29" s="28">
        <v>46238</v>
      </c>
      <c r="C29" s="28">
        <v>46239.8118055556</v>
      </c>
      <c r="D29" t="s">
        <v>256</v>
      </c>
      <c r="E29" t="s">
        <v>257</v>
      </c>
      <c r="F29" t="s">
        <v>319</v>
      </c>
      <c r="G29" t="s">
        <v>320</v>
      </c>
      <c r="H29" t="s">
        <v>260</v>
      </c>
      <c r="I29" t="s">
        <v>164</v>
      </c>
      <c r="J29" t="s">
        <v>153</v>
      </c>
      <c r="K29" t="s">
        <v>133</v>
      </c>
      <c r="L29" t="s">
        <v>321</v>
      </c>
      <c r="N29" t="s">
        <v>322</v>
      </c>
      <c r="O29" t="s">
        <v>323</v>
      </c>
      <c r="P29" t="s">
        <v>324</v>
      </c>
      <c r="Q29" t="s">
        <v>325</v>
      </c>
      <c r="R29" t="s">
        <v>80</v>
      </c>
      <c r="S29" t="s">
        <v>266</v>
      </c>
      <c r="T29" t="s">
        <v>326</v>
      </c>
      <c r="U29" t="s">
        <v>83</v>
      </c>
      <c r="V29" t="s">
        <v>126</v>
      </c>
      <c r="W29" t="s">
        <v>327</v>
      </c>
      <c r="Y29" t="s">
        <v>83</v>
      </c>
      <c r="Z29" t="s">
        <v>269</v>
      </c>
    </row>
    <row r="30" spans="1:26">
      <c r="A30">
        <v>29</v>
      </c>
      <c r="B30" s="28">
        <v>46204</v>
      </c>
      <c r="C30" s="28">
        <v>46239.8118055556</v>
      </c>
      <c r="D30" t="s">
        <v>256</v>
      </c>
      <c r="E30" t="s">
        <v>257</v>
      </c>
      <c r="F30" t="s">
        <v>328</v>
      </c>
      <c r="G30" t="s">
        <v>329</v>
      </c>
      <c r="H30" t="s">
        <v>260</v>
      </c>
      <c r="I30" t="s">
        <v>330</v>
      </c>
      <c r="J30" t="s">
        <v>73</v>
      </c>
      <c r="K30" t="s">
        <v>221</v>
      </c>
      <c r="L30" t="s">
        <v>75</v>
      </c>
      <c r="N30" t="s">
        <v>331</v>
      </c>
      <c r="O30" t="s">
        <v>332</v>
      </c>
      <c r="P30" t="s">
        <v>333</v>
      </c>
      <c r="Q30" t="s">
        <v>276</v>
      </c>
      <c r="R30" t="s">
        <v>80</v>
      </c>
      <c r="S30" t="s">
        <v>266</v>
      </c>
      <c r="T30" t="s">
        <v>287</v>
      </c>
      <c r="U30" t="s">
        <v>83</v>
      </c>
      <c r="V30" t="s">
        <v>126</v>
      </c>
      <c r="W30" t="s">
        <v>334</v>
      </c>
      <c r="Y30" t="s">
        <v>83</v>
      </c>
      <c r="Z30" t="s">
        <v>269</v>
      </c>
    </row>
    <row r="31" spans="1:26">
      <c r="A31">
        <v>30</v>
      </c>
      <c r="B31" s="28">
        <v>46204</v>
      </c>
      <c r="C31" s="28">
        <v>46239.8118055556</v>
      </c>
      <c r="D31" t="s">
        <v>256</v>
      </c>
      <c r="E31" t="s">
        <v>257</v>
      </c>
      <c r="F31" t="s">
        <v>335</v>
      </c>
      <c r="G31" t="s">
        <v>336</v>
      </c>
      <c r="H31" t="s">
        <v>260</v>
      </c>
      <c r="I31" t="s">
        <v>337</v>
      </c>
      <c r="J31" t="s">
        <v>73</v>
      </c>
      <c r="K31" t="s">
        <v>221</v>
      </c>
      <c r="L31" t="s">
        <v>75</v>
      </c>
      <c r="N31" t="s">
        <v>338</v>
      </c>
      <c r="O31" t="s">
        <v>263</v>
      </c>
      <c r="P31" t="s">
        <v>339</v>
      </c>
      <c r="Q31" t="s">
        <v>276</v>
      </c>
      <c r="R31" t="s">
        <v>80</v>
      </c>
      <c r="S31" t="s">
        <v>266</v>
      </c>
      <c r="T31" t="s">
        <v>287</v>
      </c>
      <c r="U31" t="s">
        <v>83</v>
      </c>
      <c r="V31" t="s">
        <v>126</v>
      </c>
      <c r="W31" t="s">
        <v>340</v>
      </c>
      <c r="Y31" t="s">
        <v>83</v>
      </c>
      <c r="Z31" t="s">
        <v>269</v>
      </c>
    </row>
    <row r="32" spans="1:26">
      <c r="A32">
        <v>31</v>
      </c>
      <c r="B32" s="28">
        <v>46219</v>
      </c>
      <c r="C32" s="28">
        <v>46239.8118055556</v>
      </c>
      <c r="D32" t="s">
        <v>341</v>
      </c>
      <c r="E32" t="s">
        <v>342</v>
      </c>
      <c r="F32" t="s">
        <v>343</v>
      </c>
      <c r="G32" t="s">
        <v>271</v>
      </c>
      <c r="H32" t="s">
        <v>260</v>
      </c>
      <c r="I32" t="s">
        <v>272</v>
      </c>
      <c r="J32" t="s">
        <v>73</v>
      </c>
      <c r="K32" t="s">
        <v>221</v>
      </c>
      <c r="L32" t="s">
        <v>75</v>
      </c>
      <c r="N32" t="s">
        <v>344</v>
      </c>
      <c r="O32" t="s">
        <v>332</v>
      </c>
      <c r="P32" t="s">
        <v>345</v>
      </c>
      <c r="Q32" t="s">
        <v>346</v>
      </c>
      <c r="R32" t="s">
        <v>80</v>
      </c>
      <c r="S32" t="s">
        <v>266</v>
      </c>
      <c r="T32" t="s">
        <v>277</v>
      </c>
      <c r="U32" t="s">
        <v>347</v>
      </c>
      <c r="V32" t="s">
        <v>126</v>
      </c>
      <c r="W32" t="s">
        <v>348</v>
      </c>
      <c r="X32" t="s">
        <v>349</v>
      </c>
      <c r="Y32" t="s">
        <v>83</v>
      </c>
      <c r="Z32" t="s">
        <v>269</v>
      </c>
    </row>
    <row r="33" spans="1:26">
      <c r="A33">
        <v>32</v>
      </c>
      <c r="B33" s="28">
        <v>46220</v>
      </c>
      <c r="C33" s="28">
        <v>46239.8118055556</v>
      </c>
      <c r="D33" t="s">
        <v>341</v>
      </c>
      <c r="E33" t="s">
        <v>342</v>
      </c>
      <c r="F33" t="s">
        <v>350</v>
      </c>
      <c r="G33" t="s">
        <v>271</v>
      </c>
      <c r="H33" t="s">
        <v>260</v>
      </c>
      <c r="I33" t="s">
        <v>272</v>
      </c>
      <c r="J33" t="s">
        <v>73</v>
      </c>
      <c r="K33" t="s">
        <v>221</v>
      </c>
      <c r="L33" t="s">
        <v>75</v>
      </c>
      <c r="N33" t="s">
        <v>351</v>
      </c>
      <c r="O33" t="s">
        <v>281</v>
      </c>
      <c r="P33" t="s">
        <v>345</v>
      </c>
      <c r="Q33" t="s">
        <v>352</v>
      </c>
      <c r="R33" t="s">
        <v>80</v>
      </c>
      <c r="S33" t="s">
        <v>266</v>
      </c>
      <c r="T33" t="s">
        <v>277</v>
      </c>
      <c r="U33" t="s">
        <v>347</v>
      </c>
      <c r="V33" t="s">
        <v>126</v>
      </c>
      <c r="W33" t="s">
        <v>353</v>
      </c>
      <c r="X33" t="s">
        <v>349</v>
      </c>
      <c r="Y33" t="s">
        <v>83</v>
      </c>
      <c r="Z33" t="s">
        <v>269</v>
      </c>
    </row>
    <row r="34" spans="1:26">
      <c r="A34">
        <v>33</v>
      </c>
      <c r="B34" s="28">
        <v>46217</v>
      </c>
      <c r="C34" s="28">
        <v>46239.8118055556</v>
      </c>
      <c r="D34" t="s">
        <v>341</v>
      </c>
      <c r="E34" t="s">
        <v>342</v>
      </c>
      <c r="F34" t="s">
        <v>354</v>
      </c>
      <c r="G34" t="s">
        <v>217</v>
      </c>
      <c r="H34" t="s">
        <v>260</v>
      </c>
      <c r="I34" t="s">
        <v>355</v>
      </c>
      <c r="J34" t="s">
        <v>73</v>
      </c>
      <c r="K34" t="s">
        <v>356</v>
      </c>
      <c r="L34" t="s">
        <v>75</v>
      </c>
      <c r="N34" t="s">
        <v>357</v>
      </c>
      <c r="O34" t="s">
        <v>301</v>
      </c>
      <c r="P34" t="s">
        <v>358</v>
      </c>
      <c r="Q34" t="s">
        <v>359</v>
      </c>
      <c r="R34" t="s">
        <v>80</v>
      </c>
      <c r="S34" t="s">
        <v>266</v>
      </c>
      <c r="T34" t="s">
        <v>267</v>
      </c>
      <c r="U34" t="s">
        <v>83</v>
      </c>
      <c r="V34" t="s">
        <v>126</v>
      </c>
      <c r="W34" t="s">
        <v>360</v>
      </c>
      <c r="Y34" t="s">
        <v>83</v>
      </c>
      <c r="Z34" t="s">
        <v>269</v>
      </c>
    </row>
    <row r="35" spans="1:26">
      <c r="A35">
        <v>34</v>
      </c>
      <c r="B35" s="28">
        <v>46204</v>
      </c>
      <c r="C35" s="28">
        <v>46239.8118055556</v>
      </c>
      <c r="D35" t="s">
        <v>341</v>
      </c>
      <c r="E35" t="s">
        <v>342</v>
      </c>
      <c r="F35" t="s">
        <v>361</v>
      </c>
      <c r="G35" t="s">
        <v>217</v>
      </c>
      <c r="H35" t="s">
        <v>260</v>
      </c>
      <c r="I35" t="s">
        <v>355</v>
      </c>
      <c r="J35" t="s">
        <v>73</v>
      </c>
      <c r="K35" t="s">
        <v>356</v>
      </c>
      <c r="L35" t="s">
        <v>75</v>
      </c>
      <c r="N35" t="s">
        <v>362</v>
      </c>
      <c r="O35" t="s">
        <v>301</v>
      </c>
      <c r="P35" t="s">
        <v>363</v>
      </c>
      <c r="Q35" t="s">
        <v>364</v>
      </c>
      <c r="R35" t="s">
        <v>80</v>
      </c>
      <c r="S35" t="s">
        <v>266</v>
      </c>
      <c r="T35" t="s">
        <v>277</v>
      </c>
      <c r="U35" t="s">
        <v>83</v>
      </c>
      <c r="V35" t="s">
        <v>126</v>
      </c>
      <c r="W35" t="s">
        <v>365</v>
      </c>
      <c r="Y35" t="s">
        <v>83</v>
      </c>
      <c r="Z35" t="s">
        <v>269</v>
      </c>
    </row>
    <row r="36" spans="1:26">
      <c r="A36">
        <v>35</v>
      </c>
      <c r="B36" s="28">
        <v>46229</v>
      </c>
      <c r="C36" s="28">
        <v>46239.8118055556</v>
      </c>
      <c r="D36" t="s">
        <v>341</v>
      </c>
      <c r="E36" t="s">
        <v>342</v>
      </c>
      <c r="F36" t="s">
        <v>366</v>
      </c>
      <c r="G36" t="s">
        <v>367</v>
      </c>
      <c r="H36" t="s">
        <v>260</v>
      </c>
      <c r="I36" t="s">
        <v>368</v>
      </c>
      <c r="J36" t="s">
        <v>73</v>
      </c>
      <c r="K36" t="s">
        <v>221</v>
      </c>
      <c r="L36" t="s">
        <v>75</v>
      </c>
      <c r="N36" t="s">
        <v>369</v>
      </c>
      <c r="O36" t="s">
        <v>370</v>
      </c>
      <c r="P36" t="s">
        <v>371</v>
      </c>
      <c r="Q36" t="s">
        <v>372</v>
      </c>
      <c r="R36" t="s">
        <v>80</v>
      </c>
      <c r="S36" t="s">
        <v>266</v>
      </c>
      <c r="T36" t="s">
        <v>373</v>
      </c>
      <c r="U36" t="s">
        <v>83</v>
      </c>
      <c r="V36" t="s">
        <v>126</v>
      </c>
      <c r="W36" t="s">
        <v>374</v>
      </c>
      <c r="Y36" t="s">
        <v>83</v>
      </c>
      <c r="Z36" t="s">
        <v>269</v>
      </c>
    </row>
    <row r="37" spans="1:26">
      <c r="A37">
        <v>36</v>
      </c>
      <c r="B37" s="28">
        <v>46230</v>
      </c>
      <c r="C37" s="28">
        <v>46239.8118055556</v>
      </c>
      <c r="D37" t="s">
        <v>341</v>
      </c>
      <c r="E37" t="s">
        <v>342</v>
      </c>
      <c r="F37" t="s">
        <v>375</v>
      </c>
      <c r="G37" t="s">
        <v>217</v>
      </c>
      <c r="H37" t="s">
        <v>260</v>
      </c>
      <c r="I37" t="s">
        <v>355</v>
      </c>
      <c r="J37" t="s">
        <v>73</v>
      </c>
      <c r="K37" t="s">
        <v>356</v>
      </c>
      <c r="L37" t="s">
        <v>75</v>
      </c>
      <c r="N37" t="s">
        <v>376</v>
      </c>
      <c r="O37" t="s">
        <v>377</v>
      </c>
      <c r="P37" t="s">
        <v>358</v>
      </c>
      <c r="Q37" t="s">
        <v>378</v>
      </c>
      <c r="R37" t="s">
        <v>80</v>
      </c>
      <c r="S37" t="s">
        <v>266</v>
      </c>
      <c r="T37" t="s">
        <v>267</v>
      </c>
      <c r="U37" t="s">
        <v>83</v>
      </c>
      <c r="V37" t="s">
        <v>126</v>
      </c>
      <c r="W37" t="s">
        <v>379</v>
      </c>
      <c r="Y37" t="s">
        <v>83</v>
      </c>
      <c r="Z37" t="s">
        <v>269</v>
      </c>
    </row>
    <row r="38" spans="1:26">
      <c r="A38">
        <v>37</v>
      </c>
      <c r="B38" s="28">
        <v>46232</v>
      </c>
      <c r="C38" s="28">
        <v>46239.8118055556</v>
      </c>
      <c r="D38" t="s">
        <v>341</v>
      </c>
      <c r="E38" t="s">
        <v>342</v>
      </c>
      <c r="F38" t="s">
        <v>380</v>
      </c>
      <c r="G38" t="s">
        <v>381</v>
      </c>
      <c r="H38" t="s">
        <v>260</v>
      </c>
      <c r="I38" t="s">
        <v>382</v>
      </c>
      <c r="J38" t="s">
        <v>73</v>
      </c>
      <c r="K38" t="s">
        <v>221</v>
      </c>
      <c r="L38" t="s">
        <v>75</v>
      </c>
      <c r="N38" t="s">
        <v>383</v>
      </c>
      <c r="O38" t="s">
        <v>384</v>
      </c>
      <c r="P38" t="s">
        <v>385</v>
      </c>
      <c r="Q38" t="s">
        <v>386</v>
      </c>
      <c r="R38" t="s">
        <v>80</v>
      </c>
      <c r="S38" t="s">
        <v>266</v>
      </c>
      <c r="T38" t="s">
        <v>387</v>
      </c>
      <c r="U38" t="s">
        <v>83</v>
      </c>
      <c r="V38" t="s">
        <v>126</v>
      </c>
      <c r="W38" t="s">
        <v>388</v>
      </c>
      <c r="Y38" t="s">
        <v>83</v>
      </c>
      <c r="Z38" t="s">
        <v>269</v>
      </c>
    </row>
    <row r="39" spans="1:26">
      <c r="A39">
        <v>38</v>
      </c>
      <c r="B39" s="28">
        <v>46204</v>
      </c>
      <c r="C39" s="28">
        <v>46239.8229166667</v>
      </c>
      <c r="D39" t="s">
        <v>256</v>
      </c>
      <c r="E39" t="s">
        <v>257</v>
      </c>
      <c r="F39" t="s">
        <v>389</v>
      </c>
      <c r="G39" t="s">
        <v>390</v>
      </c>
      <c r="H39" t="s">
        <v>391</v>
      </c>
      <c r="I39" t="s">
        <v>392</v>
      </c>
      <c r="J39" t="s">
        <v>153</v>
      </c>
      <c r="K39" t="s">
        <v>356</v>
      </c>
      <c r="L39" t="s">
        <v>75</v>
      </c>
      <c r="N39" t="s">
        <v>393</v>
      </c>
      <c r="O39" t="s">
        <v>394</v>
      </c>
      <c r="P39" t="s">
        <v>395</v>
      </c>
      <c r="Q39" t="s">
        <v>276</v>
      </c>
      <c r="R39" t="s">
        <v>80</v>
      </c>
      <c r="S39" t="s">
        <v>266</v>
      </c>
      <c r="T39" t="s">
        <v>396</v>
      </c>
      <c r="U39" t="s">
        <v>83</v>
      </c>
      <c r="V39" t="s">
        <v>126</v>
      </c>
      <c r="W39" t="s">
        <v>397</v>
      </c>
      <c r="Y39" t="s">
        <v>83</v>
      </c>
      <c r="Z39" t="s">
        <v>398</v>
      </c>
    </row>
    <row r="40" ht="40.5" spans="1:26">
      <c r="A40" s="13">
        <v>39</v>
      </c>
      <c r="B40" s="29">
        <v>46222.6166666667</v>
      </c>
      <c r="C40" s="29">
        <v>46239.8229166667</v>
      </c>
      <c r="D40" s="13" t="s">
        <v>399</v>
      </c>
      <c r="E40" s="13" t="s">
        <v>400</v>
      </c>
      <c r="F40" s="13" t="s">
        <v>401</v>
      </c>
      <c r="G40" s="13" t="s">
        <v>402</v>
      </c>
      <c r="H40" s="13" t="s">
        <v>403</v>
      </c>
      <c r="I40" s="13" t="s">
        <v>404</v>
      </c>
      <c r="J40" s="13" t="s">
        <v>73</v>
      </c>
      <c r="K40" s="13" t="s">
        <v>405</v>
      </c>
      <c r="L40" s="13" t="s">
        <v>75</v>
      </c>
      <c r="M40" s="13"/>
      <c r="N40" s="13" t="s">
        <v>406</v>
      </c>
      <c r="O40" s="13" t="s">
        <v>407</v>
      </c>
      <c r="P40" s="13" t="s">
        <v>408</v>
      </c>
      <c r="Q40" s="13" t="s">
        <v>409</v>
      </c>
      <c r="R40" s="13" t="s">
        <v>80</v>
      </c>
      <c r="S40" s="13" t="s">
        <v>410</v>
      </c>
      <c r="T40" s="13" t="s">
        <v>411</v>
      </c>
      <c r="U40" s="13" t="s">
        <v>83</v>
      </c>
      <c r="V40" s="13" t="s">
        <v>126</v>
      </c>
      <c r="W40" s="13" t="s">
        <v>412</v>
      </c>
      <c r="X40" s="13"/>
      <c r="Y40" s="13" t="s">
        <v>83</v>
      </c>
      <c r="Z40" s="13" t="s">
        <v>413</v>
      </c>
    </row>
    <row r="41" ht="27" spans="1:26">
      <c r="A41" s="13">
        <v>40</v>
      </c>
      <c r="B41" s="29">
        <v>46239.7104166667</v>
      </c>
      <c r="C41" s="29">
        <v>46239.8229166667</v>
      </c>
      <c r="D41" s="13" t="s">
        <v>399</v>
      </c>
      <c r="E41" s="13" t="s">
        <v>400</v>
      </c>
      <c r="F41" s="13" t="s">
        <v>414</v>
      </c>
      <c r="G41" s="13" t="s">
        <v>415</v>
      </c>
      <c r="H41" s="13" t="s">
        <v>416</v>
      </c>
      <c r="I41" s="13" t="s">
        <v>220</v>
      </c>
      <c r="J41" s="13" t="s">
        <v>73</v>
      </c>
      <c r="K41" s="13" t="s">
        <v>417</v>
      </c>
      <c r="L41" s="13" t="s">
        <v>75</v>
      </c>
      <c r="M41" s="13"/>
      <c r="N41" s="13" t="s">
        <v>418</v>
      </c>
      <c r="O41" s="13" t="s">
        <v>419</v>
      </c>
      <c r="P41" s="13" t="s">
        <v>420</v>
      </c>
      <c r="Q41" s="13" t="s">
        <v>421</v>
      </c>
      <c r="R41" s="13" t="s">
        <v>80</v>
      </c>
      <c r="S41" s="13" t="s">
        <v>422</v>
      </c>
      <c r="T41" s="13" t="s">
        <v>423</v>
      </c>
      <c r="U41" s="13" t="s">
        <v>83</v>
      </c>
      <c r="V41" s="13" t="s">
        <v>126</v>
      </c>
      <c r="W41" s="13" t="s">
        <v>424</v>
      </c>
      <c r="X41" s="13"/>
      <c r="Y41" s="13" t="s">
        <v>83</v>
      </c>
      <c r="Z41" s="13" t="s">
        <v>425</v>
      </c>
    </row>
    <row r="42" ht="27" spans="1:26">
      <c r="A42" s="13">
        <v>41</v>
      </c>
      <c r="B42" s="29">
        <v>46204.6881944444</v>
      </c>
      <c r="C42" s="29">
        <v>46239.8229166667</v>
      </c>
      <c r="D42" s="13" t="s">
        <v>399</v>
      </c>
      <c r="E42" s="13" t="s">
        <v>400</v>
      </c>
      <c r="F42" s="13" t="s">
        <v>426</v>
      </c>
      <c r="G42" s="13" t="s">
        <v>427</v>
      </c>
      <c r="H42" s="13" t="s">
        <v>428</v>
      </c>
      <c r="I42" s="13" t="s">
        <v>429</v>
      </c>
      <c r="J42" s="13" t="s">
        <v>73</v>
      </c>
      <c r="K42" s="13" t="s">
        <v>356</v>
      </c>
      <c r="L42" s="13" t="s">
        <v>75</v>
      </c>
      <c r="M42" s="13"/>
      <c r="N42" s="13" t="s">
        <v>430</v>
      </c>
      <c r="O42" s="13" t="s">
        <v>431</v>
      </c>
      <c r="P42" s="13" t="s">
        <v>432</v>
      </c>
      <c r="Q42" s="13" t="s">
        <v>433</v>
      </c>
      <c r="R42" s="13" t="s">
        <v>80</v>
      </c>
      <c r="S42" s="13" t="s">
        <v>422</v>
      </c>
      <c r="T42" s="13" t="s">
        <v>434</v>
      </c>
      <c r="U42" s="13" t="s">
        <v>83</v>
      </c>
      <c r="V42" s="13" t="s">
        <v>126</v>
      </c>
      <c r="W42" s="13" t="s">
        <v>435</v>
      </c>
      <c r="X42" s="13"/>
      <c r="Y42" s="13" t="s">
        <v>83</v>
      </c>
      <c r="Z42" s="13" t="s">
        <v>436</v>
      </c>
    </row>
    <row r="43" ht="54" spans="1:26">
      <c r="A43" s="13">
        <v>42</v>
      </c>
      <c r="B43" s="29">
        <v>46207</v>
      </c>
      <c r="C43" s="29">
        <v>46239.8993055556</v>
      </c>
      <c r="D43" s="13" t="s">
        <v>437</v>
      </c>
      <c r="E43" s="13" t="s">
        <v>438</v>
      </c>
      <c r="F43" s="13" t="s">
        <v>439</v>
      </c>
      <c r="G43" s="13" t="s">
        <v>440</v>
      </c>
      <c r="H43" s="13" t="s">
        <v>441</v>
      </c>
      <c r="I43" s="13" t="s">
        <v>442</v>
      </c>
      <c r="J43" s="13" t="s">
        <v>153</v>
      </c>
      <c r="K43" s="13" t="s">
        <v>443</v>
      </c>
      <c r="L43" s="13" t="s">
        <v>444</v>
      </c>
      <c r="M43" s="13"/>
      <c r="N43" s="13" t="s">
        <v>445</v>
      </c>
      <c r="O43" s="13" t="s">
        <v>446</v>
      </c>
      <c r="P43" s="13" t="s">
        <v>447</v>
      </c>
      <c r="Q43" s="13" t="s">
        <v>448</v>
      </c>
      <c r="R43" s="13" t="s">
        <v>80</v>
      </c>
      <c r="S43" s="13" t="s">
        <v>449</v>
      </c>
      <c r="T43" s="13" t="s">
        <v>450</v>
      </c>
      <c r="U43" s="13" t="s">
        <v>83</v>
      </c>
      <c r="V43" s="13" t="s">
        <v>126</v>
      </c>
      <c r="W43" s="13" t="s">
        <v>451</v>
      </c>
      <c r="X43" s="13"/>
      <c r="Y43" s="13" t="s">
        <v>83</v>
      </c>
      <c r="Z43" s="13" t="s">
        <v>452</v>
      </c>
    </row>
    <row r="44" ht="54" spans="1:26">
      <c r="A44" s="3">
        <v>43</v>
      </c>
      <c r="B44" s="27">
        <v>46224.71875</v>
      </c>
      <c r="C44" s="27">
        <v>46241.2944444444</v>
      </c>
      <c r="D44" s="3" t="s">
        <v>185</v>
      </c>
      <c r="E44" s="3" t="s">
        <v>453</v>
      </c>
      <c r="F44" s="3" t="s">
        <v>454</v>
      </c>
      <c r="G44" s="3" t="s">
        <v>455</v>
      </c>
      <c r="H44" s="3" t="s">
        <v>90</v>
      </c>
      <c r="I44" s="3" t="s">
        <v>456</v>
      </c>
      <c r="J44" s="3" t="s">
        <v>153</v>
      </c>
      <c r="K44" s="3" t="s">
        <v>457</v>
      </c>
      <c r="L44" s="3" t="s">
        <v>75</v>
      </c>
      <c r="M44" s="3"/>
      <c r="N44" s="3" t="s">
        <v>458</v>
      </c>
      <c r="O44" s="3" t="s">
        <v>459</v>
      </c>
      <c r="P44" s="3" t="s">
        <v>460</v>
      </c>
      <c r="Q44" s="3" t="s">
        <v>461</v>
      </c>
      <c r="R44" s="3" t="s">
        <v>80</v>
      </c>
      <c r="S44" s="3" t="s">
        <v>97</v>
      </c>
      <c r="T44" s="3" t="s">
        <v>462</v>
      </c>
      <c r="U44" s="3" t="s">
        <v>83</v>
      </c>
      <c r="V44" s="3" t="s">
        <v>83</v>
      </c>
      <c r="W44" s="3" t="s">
        <v>463</v>
      </c>
      <c r="X44" s="3"/>
      <c r="Y44" s="3" t="s">
        <v>83</v>
      </c>
      <c r="Z44" s="3" t="s">
        <v>464</v>
      </c>
    </row>
    <row r="45" ht="40.5" spans="1:26">
      <c r="A45" s="3">
        <v>44</v>
      </c>
      <c r="B45" s="27">
        <v>46205.48125</v>
      </c>
      <c r="C45" s="27">
        <v>46241.2944444444</v>
      </c>
      <c r="D45" s="3" t="s">
        <v>185</v>
      </c>
      <c r="E45" s="3" t="s">
        <v>453</v>
      </c>
      <c r="F45" s="3" t="s">
        <v>465</v>
      </c>
      <c r="G45" s="3" t="s">
        <v>455</v>
      </c>
      <c r="H45" s="3" t="s">
        <v>466</v>
      </c>
      <c r="I45" s="3" t="s">
        <v>467</v>
      </c>
      <c r="J45" s="3" t="s">
        <v>153</v>
      </c>
      <c r="K45" s="3" t="s">
        <v>468</v>
      </c>
      <c r="L45" s="3" t="s">
        <v>75</v>
      </c>
      <c r="M45" s="3"/>
      <c r="N45" s="3" t="s">
        <v>469</v>
      </c>
      <c r="O45" s="3" t="s">
        <v>470</v>
      </c>
      <c r="P45" s="3" t="s">
        <v>471</v>
      </c>
      <c r="Q45" s="3" t="s">
        <v>461</v>
      </c>
      <c r="R45" s="3" t="s">
        <v>80</v>
      </c>
      <c r="S45" s="3" t="s">
        <v>266</v>
      </c>
      <c r="T45" s="3" t="s">
        <v>472</v>
      </c>
      <c r="U45" s="3" t="s">
        <v>83</v>
      </c>
      <c r="V45" s="3" t="s">
        <v>83</v>
      </c>
      <c r="W45" s="3" t="s">
        <v>473</v>
      </c>
      <c r="X45" s="3"/>
      <c r="Y45" s="3" t="s">
        <v>83</v>
      </c>
      <c r="Z45" s="3" t="s">
        <v>474</v>
      </c>
    </row>
    <row r="46" ht="27" spans="1:26">
      <c r="A46" s="3">
        <v>45</v>
      </c>
      <c r="B46" s="27">
        <v>46216.9027777778</v>
      </c>
      <c r="C46" s="27">
        <v>46241.2944444444</v>
      </c>
      <c r="D46" s="3" t="s">
        <v>185</v>
      </c>
      <c r="E46" s="3" t="s">
        <v>475</v>
      </c>
      <c r="F46" s="3" t="s">
        <v>476</v>
      </c>
      <c r="G46" s="3" t="s">
        <v>477</v>
      </c>
      <c r="H46" s="3" t="s">
        <v>90</v>
      </c>
      <c r="I46" s="3" t="s">
        <v>478</v>
      </c>
      <c r="J46" s="3" t="s">
        <v>153</v>
      </c>
      <c r="K46" s="3" t="s">
        <v>221</v>
      </c>
      <c r="L46" s="3" t="s">
        <v>75</v>
      </c>
      <c r="M46" s="3"/>
      <c r="N46" s="3" t="s">
        <v>479</v>
      </c>
      <c r="O46" s="3" t="s">
        <v>480</v>
      </c>
      <c r="P46" s="3" t="s">
        <v>481</v>
      </c>
      <c r="Q46" s="3" t="s">
        <v>461</v>
      </c>
      <c r="R46" s="3" t="s">
        <v>80</v>
      </c>
      <c r="S46" s="3" t="s">
        <v>97</v>
      </c>
      <c r="T46" s="3" t="s">
        <v>482</v>
      </c>
      <c r="U46" s="3" t="s">
        <v>83</v>
      </c>
      <c r="V46" s="3" t="s">
        <v>83</v>
      </c>
      <c r="W46" s="3" t="s">
        <v>483</v>
      </c>
      <c r="X46" s="3"/>
      <c r="Y46" s="3" t="s">
        <v>83</v>
      </c>
      <c r="Z46" s="3" t="s">
        <v>484</v>
      </c>
    </row>
    <row r="47" ht="40.5" spans="1:26">
      <c r="A47" s="3">
        <v>46</v>
      </c>
      <c r="B47" s="27">
        <v>46233.9576388889</v>
      </c>
      <c r="C47" s="27">
        <v>46241.2944444444</v>
      </c>
      <c r="D47" s="3" t="s">
        <v>185</v>
      </c>
      <c r="E47" s="3" t="s">
        <v>475</v>
      </c>
      <c r="F47" s="3" t="s">
        <v>485</v>
      </c>
      <c r="G47" s="3" t="s">
        <v>477</v>
      </c>
      <c r="H47" s="3" t="s">
        <v>90</v>
      </c>
      <c r="I47" s="3" t="s">
        <v>478</v>
      </c>
      <c r="J47" s="3" t="s">
        <v>153</v>
      </c>
      <c r="K47" s="3" t="s">
        <v>221</v>
      </c>
      <c r="L47" s="3" t="s">
        <v>75</v>
      </c>
      <c r="M47" s="3"/>
      <c r="N47" s="3" t="s">
        <v>486</v>
      </c>
      <c r="O47" s="3" t="s">
        <v>487</v>
      </c>
      <c r="P47" s="3" t="s">
        <v>488</v>
      </c>
      <c r="Q47" s="3" t="s">
        <v>461</v>
      </c>
      <c r="R47" s="3" t="s">
        <v>80</v>
      </c>
      <c r="S47" s="3" t="s">
        <v>97</v>
      </c>
      <c r="T47" s="3" t="s">
        <v>489</v>
      </c>
      <c r="U47" s="3" t="s">
        <v>83</v>
      </c>
      <c r="V47" s="3" t="s">
        <v>83</v>
      </c>
      <c r="W47" s="3" t="s">
        <v>490</v>
      </c>
      <c r="X47" s="3"/>
      <c r="Y47" s="3" t="s">
        <v>83</v>
      </c>
      <c r="Z47" s="3" t="s">
        <v>484</v>
      </c>
    </row>
    <row r="48" ht="40.5" spans="1:26">
      <c r="A48" s="3">
        <v>47</v>
      </c>
      <c r="B48" s="27">
        <v>46204.7694444444</v>
      </c>
      <c r="C48" s="27">
        <v>46241.2944444444</v>
      </c>
      <c r="D48" s="3" t="s">
        <v>185</v>
      </c>
      <c r="E48" s="3" t="s">
        <v>491</v>
      </c>
      <c r="F48" s="3" t="s">
        <v>492</v>
      </c>
      <c r="G48" s="3" t="s">
        <v>493</v>
      </c>
      <c r="H48" s="3" t="s">
        <v>466</v>
      </c>
      <c r="I48" s="3" t="s">
        <v>494</v>
      </c>
      <c r="J48" s="3" t="s">
        <v>153</v>
      </c>
      <c r="K48" s="3" t="s">
        <v>221</v>
      </c>
      <c r="L48" s="3" t="s">
        <v>75</v>
      </c>
      <c r="M48" s="3"/>
      <c r="N48" s="3" t="s">
        <v>495</v>
      </c>
      <c r="O48" s="3" t="s">
        <v>496</v>
      </c>
      <c r="P48" s="3" t="s">
        <v>497</v>
      </c>
      <c r="Q48" s="3" t="s">
        <v>461</v>
      </c>
      <c r="R48" s="3" t="s">
        <v>80</v>
      </c>
      <c r="S48" s="3" t="s">
        <v>266</v>
      </c>
      <c r="T48" s="3" t="s">
        <v>498</v>
      </c>
      <c r="U48" s="3" t="s">
        <v>83</v>
      </c>
      <c r="V48" s="3" t="s">
        <v>83</v>
      </c>
      <c r="W48" s="3" t="s">
        <v>499</v>
      </c>
      <c r="X48" s="3"/>
      <c r="Y48" s="3" t="s">
        <v>83</v>
      </c>
      <c r="Z48" s="3" t="s">
        <v>500</v>
      </c>
    </row>
    <row r="49" spans="2:3">
      <c r="B49" s="30"/>
      <c r="C49" s="30"/>
    </row>
    <row r="50" spans="2:3">
      <c r="B50" s="30"/>
      <c r="C50" s="30"/>
    </row>
    <row r="51" spans="2:3">
      <c r="B51" s="30"/>
      <c r="C51" s="30"/>
    </row>
    <row r="52" spans="2:3">
      <c r="B52" s="30"/>
      <c r="C52" s="30"/>
    </row>
    <row r="53" spans="2:3">
      <c r="B53" s="30"/>
      <c r="C53" s="30"/>
    </row>
    <row r="54" spans="2:3">
      <c r="B54" s="30"/>
      <c r="C54" s="30"/>
    </row>
    <row r="55" spans="2:3">
      <c r="B55" s="30"/>
      <c r="C55" s="30"/>
    </row>
    <row r="56" spans="2:3">
      <c r="B56" s="30"/>
      <c r="C56" s="30"/>
    </row>
    <row r="57" spans="2:3">
      <c r="B57" s="30"/>
      <c r="C57" s="30"/>
    </row>
    <row r="58" spans="2:3">
      <c r="B58" s="30"/>
      <c r="C58" s="30"/>
    </row>
    <row r="59" spans="2:3">
      <c r="B59" s="30"/>
      <c r="C59" s="30"/>
    </row>
    <row r="60" spans="2:3">
      <c r="B60" s="30"/>
      <c r="C60" s="30"/>
    </row>
    <row r="61" spans="2:3">
      <c r="B61" s="30"/>
      <c r="C61" s="30"/>
    </row>
    <row r="62" spans="2:3">
      <c r="B62" s="30"/>
      <c r="C62" s="30"/>
    </row>
    <row r="63" spans="2:3">
      <c r="B63" s="30"/>
      <c r="C63" s="30"/>
    </row>
    <row r="64" spans="2:3">
      <c r="B64" s="30"/>
      <c r="C64" s="30"/>
    </row>
    <row r="65" spans="2:3">
      <c r="B65" s="30"/>
      <c r="C65" s="30"/>
    </row>
    <row r="66" spans="2:3">
      <c r="B66" s="30"/>
      <c r="C66" s="30"/>
    </row>
    <row r="67" spans="2:3">
      <c r="B67" s="30"/>
      <c r="C67" s="30"/>
    </row>
    <row r="68" spans="2:3">
      <c r="B68" s="30"/>
      <c r="C68" s="30"/>
    </row>
    <row r="69" spans="2:3">
      <c r="B69" s="30"/>
      <c r="C69" s="30"/>
    </row>
    <row r="70" spans="2:3">
      <c r="B70" s="30"/>
      <c r="C70" s="30"/>
    </row>
    <row r="71" spans="2:3">
      <c r="B71" s="30"/>
      <c r="C71" s="30"/>
    </row>
    <row r="72" spans="2:3">
      <c r="B72" s="30"/>
      <c r="C72" s="30"/>
    </row>
    <row r="73" spans="2:3">
      <c r="B73" s="30"/>
      <c r="C73" s="30"/>
    </row>
    <row r="74" spans="2:3">
      <c r="B74" s="30"/>
      <c r="C74" s="30"/>
    </row>
    <row r="75" spans="2:3">
      <c r="B75" s="30"/>
      <c r="C75" s="30"/>
    </row>
    <row r="76" spans="2:3">
      <c r="B76" s="30"/>
      <c r="C76" s="30"/>
    </row>
    <row r="77" spans="2:3">
      <c r="B77" s="30"/>
      <c r="C77" s="30"/>
    </row>
    <row r="78" spans="2:3">
      <c r="B78" s="30"/>
      <c r="C78" s="30"/>
    </row>
    <row r="79" spans="2:3">
      <c r="B79" s="30"/>
      <c r="C79" s="30"/>
    </row>
    <row r="80" spans="2:3">
      <c r="B80" s="30"/>
      <c r="C80" s="30"/>
    </row>
    <row r="81" spans="2:3">
      <c r="B81" s="30"/>
      <c r="C81" s="30"/>
    </row>
    <row r="82" spans="2:3">
      <c r="B82" s="30"/>
      <c r="C82" s="30"/>
    </row>
    <row r="83" spans="2:3">
      <c r="B83" s="30"/>
      <c r="C83" s="30"/>
    </row>
    <row r="84" spans="2:3">
      <c r="B84" s="30"/>
      <c r="C84" s="30"/>
    </row>
    <row r="85" spans="2:3">
      <c r="B85" s="30"/>
      <c r="C85" s="30"/>
    </row>
    <row r="86" spans="2:3">
      <c r="B86" s="30"/>
      <c r="C86" s="30"/>
    </row>
    <row r="87" spans="2:3">
      <c r="B87" s="30"/>
      <c r="C87" s="30"/>
    </row>
    <row r="88" spans="2:3">
      <c r="B88" s="30"/>
      <c r="C88" s="30"/>
    </row>
    <row r="89" spans="2:3">
      <c r="B89" s="30"/>
      <c r="C89" s="30"/>
    </row>
    <row r="90" spans="2:3">
      <c r="B90" s="30"/>
      <c r="C90" s="30"/>
    </row>
    <row r="91" spans="2:3">
      <c r="B91" s="30"/>
      <c r="C91" s="30"/>
    </row>
    <row r="92" spans="2:3">
      <c r="B92" s="30"/>
      <c r="C92" s="30"/>
    </row>
    <row r="93" spans="2:3">
      <c r="B93" s="30"/>
      <c r="C93" s="30"/>
    </row>
    <row r="94" spans="2:3">
      <c r="B94" s="30"/>
      <c r="C94" s="30"/>
    </row>
    <row r="95" spans="2:3">
      <c r="B95" s="30"/>
      <c r="C95" s="30"/>
    </row>
    <row r="96" spans="2:3">
      <c r="B96" s="30"/>
      <c r="C96" s="30"/>
    </row>
    <row r="97" spans="2:3">
      <c r="B97" s="30"/>
      <c r="C97" s="30"/>
    </row>
    <row r="98" spans="2:3">
      <c r="B98" s="30"/>
      <c r="C98" s="30"/>
    </row>
    <row r="99" spans="2:3">
      <c r="B99" s="30"/>
      <c r="C99" s="30"/>
    </row>
    <row r="100" spans="2:3">
      <c r="B100" s="30"/>
      <c r="C100" s="30"/>
    </row>
    <row r="101" spans="2:3">
      <c r="B101" s="30"/>
      <c r="C101" s="30"/>
    </row>
    <row r="102" spans="2:3">
      <c r="B102" s="30"/>
      <c r="C102" s="30"/>
    </row>
    <row r="103" spans="2:3">
      <c r="B103" s="30"/>
      <c r="C103" s="30"/>
    </row>
    <row r="104" spans="2:3">
      <c r="B104" s="30"/>
      <c r="C104" s="30"/>
    </row>
    <row r="105" spans="2:3">
      <c r="B105" s="30"/>
      <c r="C105" s="30"/>
    </row>
    <row r="106" spans="2:3">
      <c r="B106" s="30"/>
      <c r="C106" s="30"/>
    </row>
    <row r="107" spans="2:3">
      <c r="B107" s="30"/>
      <c r="C107" s="30"/>
    </row>
    <row r="108" spans="2:3">
      <c r="B108" s="30"/>
      <c r="C108" s="30"/>
    </row>
    <row r="109" spans="2:3">
      <c r="B109" s="30"/>
      <c r="C109" s="30"/>
    </row>
    <row r="110" spans="2:3">
      <c r="B110" s="30"/>
      <c r="C110" s="30"/>
    </row>
    <row r="111" spans="2:3">
      <c r="B111" s="30"/>
      <c r="C111" s="30"/>
    </row>
    <row r="112" spans="2:3">
      <c r="B112" s="30"/>
      <c r="C112" s="30"/>
    </row>
    <row r="113" spans="2:3">
      <c r="B113" s="30"/>
      <c r="C113" s="30"/>
    </row>
    <row r="114" spans="2:3">
      <c r="B114" s="30"/>
      <c r="C114" s="30"/>
    </row>
    <row r="115" spans="2:3">
      <c r="B115" s="30"/>
      <c r="C115" s="30"/>
    </row>
    <row r="116" spans="2:3">
      <c r="B116" s="30"/>
      <c r="C116" s="30"/>
    </row>
    <row r="117" spans="2:3">
      <c r="B117" s="30"/>
      <c r="C117" s="30"/>
    </row>
    <row r="118" spans="2:3">
      <c r="B118" s="30"/>
      <c r="C118" s="30"/>
    </row>
    <row r="119" spans="2:3">
      <c r="B119" s="30"/>
      <c r="C119" s="30"/>
    </row>
    <row r="120" spans="2:3">
      <c r="B120" s="30"/>
      <c r="C120" s="30"/>
    </row>
    <row r="121" spans="2:3">
      <c r="B121" s="30"/>
      <c r="C121" s="30"/>
    </row>
    <row r="122" spans="2:3">
      <c r="B122" s="30"/>
      <c r="C122" s="30"/>
    </row>
    <row r="123" spans="2:3">
      <c r="B123" s="30"/>
      <c r="C123" s="30"/>
    </row>
    <row r="124" spans="2:3">
      <c r="B124" s="30"/>
      <c r="C124" s="30"/>
    </row>
    <row r="125" spans="2:3">
      <c r="B125" s="30"/>
      <c r="C125" s="30"/>
    </row>
    <row r="126" spans="2:3">
      <c r="B126" s="30"/>
      <c r="C126" s="30"/>
    </row>
    <row r="127" spans="2:3">
      <c r="B127" s="30"/>
      <c r="C127" s="30"/>
    </row>
    <row r="128" spans="2:3">
      <c r="B128" s="30"/>
      <c r="C128" s="30"/>
    </row>
    <row r="129" spans="2:3">
      <c r="B129" s="30"/>
      <c r="C129" s="30"/>
    </row>
    <row r="130" spans="2:3">
      <c r="B130" s="30"/>
      <c r="C130" s="30"/>
    </row>
    <row r="131" spans="2:3">
      <c r="B131" s="30"/>
      <c r="C131" s="30"/>
    </row>
    <row r="132" spans="2:3">
      <c r="B132" s="30"/>
      <c r="C132" s="30"/>
    </row>
    <row r="133" spans="2:3">
      <c r="B133" s="30"/>
      <c r="C133" s="30"/>
    </row>
    <row r="134" spans="2:3">
      <c r="B134" s="30"/>
      <c r="C134" s="30"/>
    </row>
    <row r="135" spans="2:3">
      <c r="B135" s="30"/>
      <c r="C135" s="30"/>
    </row>
    <row r="136" spans="2:3">
      <c r="B136" s="30"/>
      <c r="C136" s="30"/>
    </row>
    <row r="137" spans="2:3">
      <c r="B137" s="30"/>
      <c r="C137" s="30"/>
    </row>
    <row r="138" spans="2:3">
      <c r="B138" s="30"/>
      <c r="C138" s="30"/>
    </row>
    <row r="139" spans="2:3">
      <c r="B139" s="30"/>
      <c r="C139" s="30"/>
    </row>
    <row r="140" spans="2:3">
      <c r="B140" s="30"/>
      <c r="C140" s="30"/>
    </row>
    <row r="141" spans="2:3">
      <c r="B141" s="30"/>
      <c r="C141" s="30"/>
    </row>
    <row r="142" spans="2:3">
      <c r="B142" s="30"/>
      <c r="C142" s="30"/>
    </row>
    <row r="143" spans="2:3">
      <c r="B143" s="30"/>
      <c r="C143" s="30"/>
    </row>
    <row r="144" spans="2:3">
      <c r="B144" s="30"/>
      <c r="C144" s="30"/>
    </row>
    <row r="145" spans="2:3">
      <c r="B145" s="30"/>
      <c r="C145" s="30"/>
    </row>
    <row r="146" spans="2:3">
      <c r="B146" s="30"/>
      <c r="C146" s="30"/>
    </row>
    <row r="147" spans="2:3">
      <c r="B147" s="30"/>
      <c r="C147" s="30"/>
    </row>
    <row r="148" spans="2:3">
      <c r="B148" s="30"/>
      <c r="C148" s="30"/>
    </row>
    <row r="149" spans="2:3">
      <c r="B149" s="30"/>
      <c r="C149" s="30"/>
    </row>
    <row r="150" spans="2:3">
      <c r="B150" s="30"/>
      <c r="C150" s="30"/>
    </row>
    <row r="151" spans="2:3">
      <c r="B151" s="30"/>
      <c r="C151" s="30"/>
    </row>
    <row r="152" spans="2:3">
      <c r="B152" s="30"/>
      <c r="C152" s="30"/>
    </row>
    <row r="153" spans="2:3">
      <c r="B153" s="30"/>
      <c r="C153" s="30"/>
    </row>
    <row r="154" spans="2:3">
      <c r="B154" s="30"/>
      <c r="C154" s="30"/>
    </row>
    <row r="155" spans="2:3">
      <c r="B155" s="30"/>
      <c r="C155" s="30"/>
    </row>
    <row r="156" spans="2:3">
      <c r="B156" s="30"/>
      <c r="C156" s="30"/>
    </row>
    <row r="157" spans="2:3">
      <c r="B157" s="30"/>
      <c r="C157" s="30"/>
    </row>
    <row r="158" spans="2:3">
      <c r="B158" s="30"/>
      <c r="C158" s="30"/>
    </row>
    <row r="159" spans="2:3">
      <c r="B159" s="30"/>
      <c r="C159" s="30"/>
    </row>
    <row r="160" spans="2:3">
      <c r="B160" s="30"/>
      <c r="C160" s="30"/>
    </row>
    <row r="161" spans="2:3">
      <c r="B161" s="30"/>
      <c r="C161" s="30"/>
    </row>
    <row r="162" spans="2:3">
      <c r="B162" s="30"/>
      <c r="C162" s="30"/>
    </row>
    <row r="163" spans="2:3">
      <c r="B163" s="30"/>
      <c r="C163" s="30"/>
    </row>
    <row r="164" spans="2:3">
      <c r="B164" s="30"/>
      <c r="C164" s="30"/>
    </row>
    <row r="165" spans="2:3">
      <c r="B165" s="30"/>
      <c r="C165" s="30"/>
    </row>
    <row r="166" spans="2:3">
      <c r="B166" s="30"/>
      <c r="C166" s="30"/>
    </row>
    <row r="167" spans="2:3">
      <c r="B167" s="30"/>
      <c r="C167" s="30"/>
    </row>
    <row r="168" spans="2:3">
      <c r="B168" s="30"/>
      <c r="C168" s="30"/>
    </row>
    <row r="169" spans="2:3">
      <c r="B169" s="30"/>
      <c r="C169" s="30"/>
    </row>
    <row r="170" spans="2:3">
      <c r="B170" s="30"/>
      <c r="C170" s="30"/>
    </row>
    <row r="171" spans="2:3">
      <c r="B171" s="30"/>
      <c r="C171" s="30"/>
    </row>
    <row r="172" spans="2:3">
      <c r="B172" s="30"/>
      <c r="C172" s="30"/>
    </row>
    <row r="173" spans="2:3">
      <c r="B173" s="30"/>
      <c r="C173" s="30"/>
    </row>
    <row r="174" spans="2:3">
      <c r="B174" s="30"/>
      <c r="C174" s="30"/>
    </row>
    <row r="175" spans="2:3">
      <c r="B175" s="30"/>
      <c r="C175" s="30"/>
    </row>
    <row r="176" spans="2:3">
      <c r="B176" s="30"/>
      <c r="C176" s="30"/>
    </row>
    <row r="177" spans="2:3">
      <c r="B177" s="30"/>
      <c r="C177" s="30"/>
    </row>
    <row r="178" spans="2:3">
      <c r="B178" s="30"/>
      <c r="C178" s="30"/>
    </row>
    <row r="179" spans="2:3">
      <c r="B179" s="30"/>
      <c r="C179" s="30"/>
    </row>
    <row r="180" spans="2:3">
      <c r="B180" s="30"/>
      <c r="C180" s="30"/>
    </row>
    <row r="181" spans="2:3">
      <c r="B181" s="30"/>
      <c r="C181" s="30"/>
    </row>
    <row r="182" spans="2:3">
      <c r="B182" s="30"/>
      <c r="C182" s="30"/>
    </row>
    <row r="183" spans="2:3">
      <c r="B183" s="30"/>
      <c r="C183" s="30"/>
    </row>
    <row r="184" spans="2:3">
      <c r="B184" s="30"/>
      <c r="C184" s="30"/>
    </row>
    <row r="185" spans="2:3">
      <c r="B185" s="30"/>
      <c r="C185" s="30"/>
    </row>
    <row r="186" spans="2:3">
      <c r="B186" s="30"/>
      <c r="C186" s="30"/>
    </row>
    <row r="187" spans="2:3">
      <c r="B187" s="30"/>
      <c r="C187" s="30"/>
    </row>
    <row r="188" spans="2:3">
      <c r="B188" s="30"/>
      <c r="C188" s="30"/>
    </row>
    <row r="189" spans="2:3">
      <c r="B189" s="30"/>
      <c r="C189" s="30"/>
    </row>
    <row r="190" spans="2:3">
      <c r="B190" s="30"/>
      <c r="C190" s="30"/>
    </row>
    <row r="191" spans="2:3">
      <c r="B191" s="30"/>
      <c r="C191" s="30"/>
    </row>
    <row r="192" spans="2:3">
      <c r="B192" s="30"/>
      <c r="C192" s="30"/>
    </row>
    <row r="193" spans="2:3">
      <c r="B193" s="30"/>
      <c r="C193" s="30"/>
    </row>
    <row r="194" spans="2:3">
      <c r="B194" s="30"/>
      <c r="C194" s="30"/>
    </row>
    <row r="195" spans="2:3">
      <c r="B195" s="30"/>
      <c r="C195" s="30"/>
    </row>
    <row r="196" spans="2:3">
      <c r="B196" s="30"/>
      <c r="C196" s="30"/>
    </row>
    <row r="197" spans="2:3">
      <c r="B197" s="30"/>
      <c r="C197" s="30"/>
    </row>
    <row r="198" spans="2:3">
      <c r="B198" s="30"/>
      <c r="C198" s="30"/>
    </row>
    <row r="199" spans="2:3">
      <c r="B199" s="30"/>
      <c r="C199" s="30"/>
    </row>
    <row r="200" spans="2:3">
      <c r="B200" s="30"/>
      <c r="C200" s="30"/>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selection activeCell="A1" sqref="A1"/>
    </sheetView>
  </sheetViews>
  <sheetFormatPr defaultColWidth="9" defaultRowHeight="13.5" outlineLevelCol="6"/>
  <cols>
    <col min="1" max="1" width="7" customWidth="1"/>
    <col min="2" max="2" width="26" customWidth="1"/>
    <col min="3" max="4" width="43" customWidth="1"/>
    <col min="5" max="5" width="78" customWidth="1"/>
    <col min="6" max="6" width="55" customWidth="1"/>
    <col min="7" max="7" width="20" customWidth="1"/>
  </cols>
  <sheetData>
    <row r="1" spans="1:7">
      <c r="A1" s="2" t="s">
        <v>42</v>
      </c>
      <c r="B1" s="2" t="s">
        <v>932</v>
      </c>
      <c r="C1" s="2" t="s">
        <v>933</v>
      </c>
      <c r="D1" s="2" t="s">
        <v>934</v>
      </c>
      <c r="E1" s="2" t="s">
        <v>935</v>
      </c>
      <c r="F1" s="2" t="s">
        <v>936</v>
      </c>
      <c r="G1" s="2" t="s">
        <v>937</v>
      </c>
    </row>
    <row r="2" ht="27" spans="1:7">
      <c r="A2" s="24">
        <v>1</v>
      </c>
      <c r="B2" s="21" t="s">
        <v>938</v>
      </c>
      <c r="C2" s="21" t="s">
        <v>939</v>
      </c>
      <c r="D2" s="21" t="s">
        <v>940</v>
      </c>
      <c r="E2" s="21" t="s">
        <v>941</v>
      </c>
      <c r="F2" s="21" t="s">
        <v>942</v>
      </c>
      <c r="G2" s="21" t="s">
        <v>83</v>
      </c>
    </row>
    <row r="3" spans="1:7">
      <c r="A3" s="14">
        <v>2</v>
      </c>
      <c r="B3" s="13" t="s">
        <v>943</v>
      </c>
      <c r="C3" s="13" t="s">
        <v>939</v>
      </c>
      <c r="D3" s="13" t="s">
        <v>944</v>
      </c>
      <c r="E3" s="13" t="s">
        <v>945</v>
      </c>
      <c r="F3" s="13" t="s">
        <v>946</v>
      </c>
      <c r="G3" s="13" t="s">
        <v>83</v>
      </c>
    </row>
    <row r="4" ht="27" spans="1:7">
      <c r="A4" s="24">
        <v>3</v>
      </c>
      <c r="B4" s="21" t="s">
        <v>947</v>
      </c>
      <c r="C4" s="21" t="s">
        <v>939</v>
      </c>
      <c r="D4" s="21" t="s">
        <v>948</v>
      </c>
      <c r="E4" s="21" t="s">
        <v>949</v>
      </c>
      <c r="F4" s="21" t="s">
        <v>950</v>
      </c>
      <c r="G4" s="21" t="s">
        <v>83</v>
      </c>
    </row>
    <row r="5" ht="27" spans="1:7">
      <c r="A5" s="14">
        <v>4</v>
      </c>
      <c r="B5" s="13" t="s">
        <v>951</v>
      </c>
      <c r="C5" s="13" t="s">
        <v>939</v>
      </c>
      <c r="D5" s="13" t="s">
        <v>952</v>
      </c>
      <c r="E5" s="13" t="s">
        <v>953</v>
      </c>
      <c r="F5" s="13" t="s">
        <v>954</v>
      </c>
      <c r="G5" s="13" t="s">
        <v>83</v>
      </c>
    </row>
    <row r="6" ht="27" spans="1:7">
      <c r="A6" s="24">
        <v>5</v>
      </c>
      <c r="B6" s="21" t="s">
        <v>955</v>
      </c>
      <c r="C6" s="21" t="s">
        <v>939</v>
      </c>
      <c r="D6" s="21" t="s">
        <v>956</v>
      </c>
      <c r="E6" s="21" t="s">
        <v>957</v>
      </c>
      <c r="F6" s="21" t="s">
        <v>958</v>
      </c>
      <c r="G6" s="21" t="s">
        <v>83</v>
      </c>
    </row>
    <row r="7" ht="27" spans="1:7">
      <c r="A7" s="14">
        <v>6</v>
      </c>
      <c r="B7" s="13" t="s">
        <v>959</v>
      </c>
      <c r="C7" s="13" t="s">
        <v>939</v>
      </c>
      <c r="D7" s="13" t="s">
        <v>960</v>
      </c>
      <c r="E7" s="13" t="s">
        <v>961</v>
      </c>
      <c r="F7" s="13" t="s">
        <v>962</v>
      </c>
      <c r="G7" s="13" t="s">
        <v>83</v>
      </c>
    </row>
    <row r="8" ht="27" spans="1:7">
      <c r="A8" s="24">
        <v>7</v>
      </c>
      <c r="B8" s="21" t="s">
        <v>963</v>
      </c>
      <c r="C8" s="21" t="s">
        <v>939</v>
      </c>
      <c r="D8" s="21" t="s">
        <v>964</v>
      </c>
      <c r="E8" s="21" t="s">
        <v>965</v>
      </c>
      <c r="F8" s="21" t="s">
        <v>966</v>
      </c>
      <c r="G8" s="21" t="s">
        <v>83</v>
      </c>
    </row>
    <row r="9" ht="27" spans="1:7">
      <c r="A9" s="14">
        <v>8</v>
      </c>
      <c r="B9" s="13" t="s">
        <v>967</v>
      </c>
      <c r="C9" s="13" t="s">
        <v>939</v>
      </c>
      <c r="D9" s="13" t="s">
        <v>968</v>
      </c>
      <c r="E9" s="13" t="s">
        <v>969</v>
      </c>
      <c r="F9" s="13" t="s">
        <v>970</v>
      </c>
      <c r="G9" s="13" t="s">
        <v>83</v>
      </c>
    </row>
    <row r="10" ht="27" spans="1:7">
      <c r="A10" s="24">
        <v>9</v>
      </c>
      <c r="B10" s="21" t="s">
        <v>971</v>
      </c>
      <c r="C10" s="21" t="s">
        <v>972</v>
      </c>
      <c r="D10" s="21" t="s">
        <v>973</v>
      </c>
      <c r="E10" s="21" t="s">
        <v>974</v>
      </c>
      <c r="F10" s="21" t="s">
        <v>975</v>
      </c>
      <c r="G10" s="21" t="s">
        <v>83</v>
      </c>
    </row>
    <row r="11" ht="27" spans="1:7">
      <c r="A11" s="14">
        <v>10</v>
      </c>
      <c r="B11" s="13" t="s">
        <v>976</v>
      </c>
      <c r="C11" s="13" t="s">
        <v>939</v>
      </c>
      <c r="D11" s="13" t="s">
        <v>977</v>
      </c>
      <c r="E11" s="13" t="s">
        <v>978</v>
      </c>
      <c r="F11" s="13" t="s">
        <v>979</v>
      </c>
      <c r="G11" s="13" t="s">
        <v>83</v>
      </c>
    </row>
    <row r="12" spans="1:7">
      <c r="A12" s="24">
        <v>11</v>
      </c>
      <c r="B12" s="21" t="s">
        <v>980</v>
      </c>
      <c r="C12" s="21" t="s">
        <v>939</v>
      </c>
      <c r="D12" s="21" t="s">
        <v>981</v>
      </c>
      <c r="E12" s="21" t="s">
        <v>982</v>
      </c>
      <c r="F12" s="21" t="s">
        <v>983</v>
      </c>
      <c r="G12" s="21" t="s">
        <v>83</v>
      </c>
    </row>
    <row r="13" spans="1:7">
      <c r="A13" s="14">
        <v>12</v>
      </c>
      <c r="B13" s="13" t="s">
        <v>984</v>
      </c>
      <c r="C13" s="13" t="s">
        <v>939</v>
      </c>
      <c r="D13" s="13" t="s">
        <v>985</v>
      </c>
      <c r="E13" s="13" t="s">
        <v>986</v>
      </c>
      <c r="F13" s="13" t="s">
        <v>987</v>
      </c>
      <c r="G13" s="13" t="s">
        <v>83</v>
      </c>
    </row>
    <row r="14" spans="1:7">
      <c r="A14" s="24">
        <v>13</v>
      </c>
      <c r="B14" s="21" t="s">
        <v>988</v>
      </c>
      <c r="C14" s="21" t="s">
        <v>783</v>
      </c>
      <c r="D14" s="21" t="s">
        <v>989</v>
      </c>
      <c r="E14" s="21" t="s">
        <v>990</v>
      </c>
      <c r="F14" s="21" t="s">
        <v>991</v>
      </c>
      <c r="G14" s="21" t="s">
        <v>126</v>
      </c>
    </row>
    <row r="15" ht="27" spans="1:7">
      <c r="A15" s="14">
        <v>14</v>
      </c>
      <c r="B15" s="13" t="s">
        <v>992</v>
      </c>
      <c r="C15" s="13" t="s">
        <v>789</v>
      </c>
      <c r="D15" s="13" t="s">
        <v>993</v>
      </c>
      <c r="E15" s="13" t="s">
        <v>994</v>
      </c>
      <c r="F15" s="13" t="s">
        <v>995</v>
      </c>
      <c r="G15" s="13" t="s">
        <v>126</v>
      </c>
    </row>
    <row r="16" spans="1:7">
      <c r="A16" s="24">
        <v>15</v>
      </c>
      <c r="B16" s="21" t="s">
        <v>996</v>
      </c>
      <c r="C16" s="21" t="s">
        <v>795</v>
      </c>
      <c r="D16" s="21" t="s">
        <v>993</v>
      </c>
      <c r="E16" s="21" t="s">
        <v>997</v>
      </c>
      <c r="F16" s="21" t="s">
        <v>998</v>
      </c>
      <c r="G16" s="21" t="s">
        <v>126</v>
      </c>
    </row>
    <row r="17" ht="27" spans="1:7">
      <c r="A17" s="14">
        <v>16</v>
      </c>
      <c r="B17" s="13" t="s">
        <v>999</v>
      </c>
      <c r="C17" s="13" t="s">
        <v>801</v>
      </c>
      <c r="D17" s="13" t="s">
        <v>1000</v>
      </c>
      <c r="E17" s="13" t="s">
        <v>1001</v>
      </c>
      <c r="F17" s="13" t="s">
        <v>1002</v>
      </c>
      <c r="G17" s="13" t="s">
        <v>126</v>
      </c>
    </row>
    <row r="18" ht="27" spans="1:7">
      <c r="A18" s="24">
        <v>17</v>
      </c>
      <c r="B18" s="21" t="s">
        <v>1003</v>
      </c>
      <c r="C18" s="21" t="s">
        <v>807</v>
      </c>
      <c r="D18" s="21" t="s">
        <v>1004</v>
      </c>
      <c r="E18" s="21" t="s">
        <v>1005</v>
      </c>
      <c r="F18" s="21" t="s">
        <v>1006</v>
      </c>
      <c r="G18" s="21" t="s">
        <v>126</v>
      </c>
    </row>
    <row r="19" spans="1:7">
      <c r="A19" s="14">
        <v>18</v>
      </c>
      <c r="B19" s="13" t="s">
        <v>1007</v>
      </c>
      <c r="C19" s="13" t="s">
        <v>813</v>
      </c>
      <c r="D19" s="13" t="s">
        <v>1008</v>
      </c>
      <c r="E19" s="13" t="s">
        <v>1009</v>
      </c>
      <c r="F19" s="13" t="s">
        <v>1010</v>
      </c>
      <c r="G19" s="13" t="s">
        <v>126</v>
      </c>
    </row>
    <row r="20" ht="27" spans="1:7">
      <c r="A20" s="24">
        <v>19</v>
      </c>
      <c r="B20" s="21" t="s">
        <v>1011</v>
      </c>
      <c r="C20" s="21" t="s">
        <v>819</v>
      </c>
      <c r="D20" s="21" t="s">
        <v>1012</v>
      </c>
      <c r="E20" s="21" t="s">
        <v>1013</v>
      </c>
      <c r="F20" s="21" t="s">
        <v>1014</v>
      </c>
      <c r="G20" s="21" t="s">
        <v>126</v>
      </c>
    </row>
  </sheetData>
  <conditionalFormatting sqref="G2:G20">
    <cfRule type="expression" dxfId="6" priority="1">
      <formula>G2="是"</formula>
    </cfRule>
  </conditionalFormatting>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workbookViewId="0">
      <selection activeCell="A1" sqref="A1"/>
    </sheetView>
  </sheetViews>
  <sheetFormatPr defaultColWidth="9" defaultRowHeight="13.5" outlineLevelCol="4"/>
  <cols>
    <col min="1" max="1" width="17" customWidth="1"/>
    <col min="2" max="2" width="43" customWidth="1"/>
    <col min="3" max="3" width="25" customWidth="1"/>
    <col min="4" max="4" width="70" customWidth="1"/>
    <col min="5" max="5" width="65" customWidth="1"/>
  </cols>
  <sheetData>
    <row r="1" ht="13.9" spans="1:5">
      <c r="A1" s="2" t="s">
        <v>1015</v>
      </c>
      <c r="B1" s="2" t="s">
        <v>1016</v>
      </c>
      <c r="C1" s="2" t="s">
        <v>1017</v>
      </c>
      <c r="D1" s="2" t="s">
        <v>1018</v>
      </c>
      <c r="E1" s="2" t="s">
        <v>1019</v>
      </c>
    </row>
    <row r="2" ht="27" spans="1:5">
      <c r="A2" s="21" t="s">
        <v>1020</v>
      </c>
      <c r="B2" s="22" t="s">
        <v>1021</v>
      </c>
      <c r="C2" s="22" t="s">
        <v>1022</v>
      </c>
      <c r="D2" s="22" t="s">
        <v>1023</v>
      </c>
      <c r="E2" s="21" t="s">
        <v>1024</v>
      </c>
    </row>
    <row r="3" ht="27" spans="1:5">
      <c r="A3" s="13" t="s">
        <v>1025</v>
      </c>
      <c r="B3" s="23" t="s">
        <v>1026</v>
      </c>
      <c r="C3" s="23" t="s">
        <v>1027</v>
      </c>
      <c r="D3" s="23" t="s">
        <v>1028</v>
      </c>
      <c r="E3" s="13" t="s">
        <v>1029</v>
      </c>
    </row>
    <row r="4" spans="1:5">
      <c r="A4" s="21" t="s">
        <v>1030</v>
      </c>
      <c r="B4" s="22" t="s">
        <v>1031</v>
      </c>
      <c r="C4" s="22" t="s">
        <v>1032</v>
      </c>
      <c r="D4" s="22" t="s">
        <v>1033</v>
      </c>
      <c r="E4" s="21" t="s">
        <v>1034</v>
      </c>
    </row>
    <row r="5" ht="27" spans="1:5">
      <c r="A5" s="13" t="s">
        <v>1035</v>
      </c>
      <c r="B5" s="23" t="s">
        <v>1036</v>
      </c>
      <c r="C5" s="23" t="s">
        <v>1037</v>
      </c>
      <c r="D5" s="23" t="s">
        <v>1038</v>
      </c>
      <c r="E5" s="13" t="s">
        <v>1039</v>
      </c>
    </row>
    <row r="6" ht="27" spans="1:5">
      <c r="A6" s="21" t="s">
        <v>1040</v>
      </c>
      <c r="B6" s="22" t="s">
        <v>1041</v>
      </c>
      <c r="C6" s="22" t="s">
        <v>1037</v>
      </c>
      <c r="D6" s="22" t="s">
        <v>1042</v>
      </c>
      <c r="E6" s="21" t="s">
        <v>1043</v>
      </c>
    </row>
    <row r="7" spans="1:5">
      <c r="A7" s="13" t="s">
        <v>1044</v>
      </c>
      <c r="B7" s="23" t="s">
        <v>1045</v>
      </c>
      <c r="C7" s="23" t="s">
        <v>1046</v>
      </c>
      <c r="D7" s="23" t="s">
        <v>1047</v>
      </c>
      <c r="E7" s="13" t="s">
        <v>1048</v>
      </c>
    </row>
    <row r="8" spans="1:5">
      <c r="A8" s="21" t="s">
        <v>1049</v>
      </c>
      <c r="B8" s="22" t="s">
        <v>1050</v>
      </c>
      <c r="C8" s="22" t="s">
        <v>1051</v>
      </c>
      <c r="D8" s="22" t="s">
        <v>1052</v>
      </c>
      <c r="E8" s="21" t="s">
        <v>1053</v>
      </c>
    </row>
    <row r="9" spans="1:5">
      <c r="A9" s="13" t="s">
        <v>1054</v>
      </c>
      <c r="B9" s="23" t="s">
        <v>1055</v>
      </c>
      <c r="C9" s="23" t="s">
        <v>1056</v>
      </c>
      <c r="D9" s="23" t="s">
        <v>1057</v>
      </c>
      <c r="E9" s="13" t="s">
        <v>1058</v>
      </c>
    </row>
    <row r="10" ht="27" spans="1:5">
      <c r="A10" s="13" t="s">
        <v>1059</v>
      </c>
      <c r="B10" s="23" t="s">
        <v>1060</v>
      </c>
      <c r="C10" s="23" t="s">
        <v>1061</v>
      </c>
      <c r="D10" s="23" t="s">
        <v>1062</v>
      </c>
      <c r="E10" s="13" t="s">
        <v>1063</v>
      </c>
    </row>
    <row r="11" ht="27" spans="1:5">
      <c r="A11" s="13" t="s">
        <v>1064</v>
      </c>
      <c r="B11" s="23" t="s">
        <v>1065</v>
      </c>
      <c r="C11" s="23" t="s">
        <v>1037</v>
      </c>
      <c r="D11" s="23" t="s">
        <v>1066</v>
      </c>
      <c r="E11" s="13" t="s">
        <v>1067</v>
      </c>
    </row>
    <row r="12" ht="27" spans="1:5">
      <c r="A12" s="13" t="s">
        <v>1068</v>
      </c>
      <c r="B12" s="13" t="s">
        <v>1069</v>
      </c>
      <c r="C12" s="13" t="s">
        <v>1070</v>
      </c>
      <c r="D12" s="13" t="s">
        <v>1071</v>
      </c>
      <c r="E12" s="13" t="s">
        <v>1072</v>
      </c>
    </row>
    <row r="13" ht="27" spans="1:5">
      <c r="A13" s="13" t="s">
        <v>1073</v>
      </c>
      <c r="B13" s="13" t="s">
        <v>1074</v>
      </c>
      <c r="C13" s="13" t="s">
        <v>1061</v>
      </c>
      <c r="D13" s="13" t="s">
        <v>1075</v>
      </c>
      <c r="E13" s="13" t="s">
        <v>1076</v>
      </c>
    </row>
    <row r="14" spans="1:5">
      <c r="A14" s="13" t="s">
        <v>1077</v>
      </c>
      <c r="B14" s="13" t="s">
        <v>1078</v>
      </c>
      <c r="C14" s="13" t="s">
        <v>1037</v>
      </c>
      <c r="D14" s="13" t="s">
        <v>1079</v>
      </c>
      <c r="E14" s="13" t="s">
        <v>1080</v>
      </c>
    </row>
    <row r="15" ht="27" spans="1:5">
      <c r="A15" s="13" t="s">
        <v>1081</v>
      </c>
      <c r="B15" s="13" t="s">
        <v>1082</v>
      </c>
      <c r="C15" s="13" t="s">
        <v>1083</v>
      </c>
      <c r="D15" s="13" t="s">
        <v>1084</v>
      </c>
      <c r="E15" s="13" t="s">
        <v>1085</v>
      </c>
    </row>
    <row r="16" ht="27" spans="1:5">
      <c r="A16" s="13" t="s">
        <v>1086</v>
      </c>
      <c r="B16" s="13" t="s">
        <v>1087</v>
      </c>
      <c r="C16" s="13" t="s">
        <v>1083</v>
      </c>
      <c r="D16" s="13" t="s">
        <v>1088</v>
      </c>
      <c r="E16" s="13" t="s">
        <v>1089</v>
      </c>
    </row>
    <row r="17" ht="27" spans="1:5">
      <c r="A17" s="13" t="s">
        <v>1090</v>
      </c>
      <c r="B17" s="13" t="s">
        <v>1091</v>
      </c>
      <c r="C17" s="13" t="s">
        <v>1092</v>
      </c>
      <c r="D17" s="13" t="s">
        <v>1093</v>
      </c>
      <c r="E17" s="13" t="s">
        <v>1094</v>
      </c>
    </row>
    <row r="18" ht="27" spans="1:5">
      <c r="A18" s="13" t="s">
        <v>1095</v>
      </c>
      <c r="B18" s="13" t="s">
        <v>1096</v>
      </c>
      <c r="C18" s="13" t="s">
        <v>1092</v>
      </c>
      <c r="D18" s="13" t="s">
        <v>1097</v>
      </c>
      <c r="E18" s="13" t="s">
        <v>1098</v>
      </c>
    </row>
    <row r="19" ht="27" spans="1:5">
      <c r="A19" s="13" t="s">
        <v>1099</v>
      </c>
      <c r="B19" s="13" t="s">
        <v>1100</v>
      </c>
      <c r="C19" s="13" t="s">
        <v>1092</v>
      </c>
      <c r="D19" s="13" t="s">
        <v>1101</v>
      </c>
      <c r="E19" s="13" t="s">
        <v>1102</v>
      </c>
    </row>
    <row r="20" ht="40.5" spans="1:5">
      <c r="A20" s="13" t="s">
        <v>1103</v>
      </c>
      <c r="B20" s="13" t="s">
        <v>1104</v>
      </c>
      <c r="C20" s="13" t="s">
        <v>1083</v>
      </c>
      <c r="D20" s="13" t="s">
        <v>1105</v>
      </c>
      <c r="E20" s="13" t="s">
        <v>1106</v>
      </c>
    </row>
    <row r="21" ht="27" spans="1:5">
      <c r="A21" s="13" t="s">
        <v>1107</v>
      </c>
      <c r="B21" s="13" t="s">
        <v>1108</v>
      </c>
      <c r="C21" s="13" t="s">
        <v>1083</v>
      </c>
      <c r="D21" s="13" t="s">
        <v>1109</v>
      </c>
      <c r="E21" s="13" t="s">
        <v>1110</v>
      </c>
    </row>
    <row r="22" ht="40.5" spans="1:5">
      <c r="A22" s="13" t="s">
        <v>1111</v>
      </c>
      <c r="B22" s="13" t="s">
        <v>1112</v>
      </c>
      <c r="C22" s="13" t="s">
        <v>1113</v>
      </c>
      <c r="D22" s="13" t="s">
        <v>1114</v>
      </c>
      <c r="E22" s="13" t="s">
        <v>1115</v>
      </c>
    </row>
    <row r="23" ht="40.5" spans="1:5">
      <c r="A23" s="13" t="s">
        <v>1116</v>
      </c>
      <c r="B23" s="13" t="s">
        <v>1117</v>
      </c>
      <c r="C23" s="13" t="s">
        <v>1118</v>
      </c>
      <c r="D23" s="13" t="s">
        <v>1119</v>
      </c>
      <c r="E23" s="13" t="s">
        <v>1120</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7"/>
  <sheetViews>
    <sheetView workbookViewId="0">
      <selection activeCell="A1" sqref="A1"/>
    </sheetView>
  </sheetViews>
  <sheetFormatPr defaultColWidth="9" defaultRowHeight="13.5"/>
  <cols>
    <col min="1" max="1" width="11" customWidth="1"/>
    <col min="2" max="2" width="16" customWidth="1"/>
    <col min="3" max="3" width="30" customWidth="1"/>
    <col min="4" max="4" width="52" customWidth="1"/>
    <col min="5" max="5" width="16" customWidth="1"/>
    <col min="6" max="6" width="42" customWidth="1"/>
    <col min="7" max="7" width="30" customWidth="1"/>
    <col min="8" max="8" width="9" customWidth="1"/>
    <col min="9" max="9" width="15" customWidth="1"/>
    <col min="10" max="10" width="48" customWidth="1"/>
    <col min="11" max="14" width="11" customWidth="1"/>
    <col min="15" max="15" width="13" customWidth="1"/>
    <col min="16" max="16" width="10" customWidth="1"/>
    <col min="17" max="17" width="42" customWidth="1"/>
    <col min="18" max="18" width="14" customWidth="1"/>
    <col min="19" max="19" width="55" customWidth="1"/>
    <col min="20" max="20" width="30" customWidth="1"/>
  </cols>
  <sheetData>
    <row r="1" spans="1:20">
      <c r="A1" s="2" t="s">
        <v>1121</v>
      </c>
      <c r="B1" s="2" t="s">
        <v>1122</v>
      </c>
      <c r="C1" s="2" t="s">
        <v>48</v>
      </c>
      <c r="D1" s="2" t="s">
        <v>1123</v>
      </c>
      <c r="E1" s="2" t="s">
        <v>43</v>
      </c>
      <c r="F1" s="2" t="s">
        <v>1124</v>
      </c>
      <c r="G1" s="2" t="s">
        <v>50</v>
      </c>
      <c r="H1" s="2" t="s">
        <v>51</v>
      </c>
      <c r="I1" s="2" t="s">
        <v>53</v>
      </c>
      <c r="J1" s="2" t="s">
        <v>47</v>
      </c>
      <c r="K1" s="2" t="s">
        <v>1125</v>
      </c>
      <c r="L1" s="2" t="s">
        <v>1126</v>
      </c>
      <c r="M1" s="2" t="s">
        <v>1127</v>
      </c>
      <c r="N1" s="2" t="s">
        <v>1128</v>
      </c>
      <c r="O1" s="2" t="s">
        <v>1129</v>
      </c>
      <c r="P1" s="2" t="s">
        <v>1130</v>
      </c>
      <c r="Q1" s="2" t="s">
        <v>1131</v>
      </c>
      <c r="R1" s="2" t="s">
        <v>63</v>
      </c>
      <c r="S1" s="2" t="s">
        <v>1132</v>
      </c>
      <c r="T1" s="2" t="s">
        <v>1133</v>
      </c>
    </row>
    <row r="2" ht="40.5" spans="1:20">
      <c r="A2" s="10" t="s">
        <v>1134</v>
      </c>
      <c r="B2" s="11" t="s">
        <v>257</v>
      </c>
      <c r="C2" s="11" t="s">
        <v>259</v>
      </c>
      <c r="D2" s="11" t="s">
        <v>262</v>
      </c>
      <c r="E2" s="17">
        <v>46205</v>
      </c>
      <c r="F2" s="11" t="s">
        <v>1135</v>
      </c>
      <c r="G2" s="11" t="s">
        <v>132</v>
      </c>
      <c r="H2" s="11" t="s">
        <v>73</v>
      </c>
      <c r="I2" s="11" t="s">
        <v>261</v>
      </c>
      <c r="J2" s="11" t="s">
        <v>258</v>
      </c>
      <c r="K2" s="11"/>
      <c r="L2" s="11"/>
      <c r="M2" s="11"/>
      <c r="N2" s="11">
        <v>4</v>
      </c>
      <c r="O2" s="11">
        <v>4</v>
      </c>
      <c r="P2" s="11">
        <v>0</v>
      </c>
      <c r="Q2" s="11" t="s">
        <v>265</v>
      </c>
      <c r="R2" s="11" t="s">
        <v>126</v>
      </c>
      <c r="S2" s="11" t="s">
        <v>1136</v>
      </c>
      <c r="T2" s="10" t="s">
        <v>1137</v>
      </c>
    </row>
    <row r="3" ht="27" spans="1:20">
      <c r="A3" s="3" t="s">
        <v>1138</v>
      </c>
      <c r="B3" s="4" t="s">
        <v>257</v>
      </c>
      <c r="C3" s="4" t="s">
        <v>271</v>
      </c>
      <c r="D3" s="4" t="s">
        <v>273</v>
      </c>
      <c r="E3" s="18">
        <v>46213</v>
      </c>
      <c r="F3" s="4" t="s">
        <v>1139</v>
      </c>
      <c r="G3" s="4" t="s">
        <v>272</v>
      </c>
      <c r="H3" s="4" t="s">
        <v>73</v>
      </c>
      <c r="I3" s="4" t="s">
        <v>75</v>
      </c>
      <c r="J3" s="4" t="s">
        <v>270</v>
      </c>
      <c r="K3" s="4">
        <v>38</v>
      </c>
      <c r="L3" s="4">
        <v>47</v>
      </c>
      <c r="M3" s="4">
        <v>49</v>
      </c>
      <c r="N3" s="4">
        <v>3</v>
      </c>
      <c r="O3" s="4">
        <v>2</v>
      </c>
      <c r="P3" s="4">
        <v>1</v>
      </c>
      <c r="Q3" s="4" t="s">
        <v>276</v>
      </c>
      <c r="R3" s="4" t="s">
        <v>126</v>
      </c>
      <c r="S3" s="4" t="s">
        <v>1140</v>
      </c>
      <c r="T3" s="3" t="s">
        <v>1141</v>
      </c>
    </row>
    <row r="4" ht="40.5" spans="1:20">
      <c r="A4" s="10" t="s">
        <v>1142</v>
      </c>
      <c r="B4" s="11" t="s">
        <v>257</v>
      </c>
      <c r="C4" s="11" t="s">
        <v>271</v>
      </c>
      <c r="D4" s="11" t="s">
        <v>280</v>
      </c>
      <c r="E4" s="17">
        <v>46219</v>
      </c>
      <c r="F4" s="11" t="s">
        <v>1143</v>
      </c>
      <c r="G4" s="11" t="s">
        <v>272</v>
      </c>
      <c r="H4" s="11" t="s">
        <v>73</v>
      </c>
      <c r="I4" s="11" t="s">
        <v>75</v>
      </c>
      <c r="J4" s="11" t="s">
        <v>279</v>
      </c>
      <c r="K4" s="11">
        <v>57</v>
      </c>
      <c r="L4" s="11">
        <v>91</v>
      </c>
      <c r="M4" s="11">
        <v>50</v>
      </c>
      <c r="N4" s="11">
        <v>8</v>
      </c>
      <c r="O4" s="11">
        <v>7</v>
      </c>
      <c r="P4" s="11">
        <v>1</v>
      </c>
      <c r="Q4" s="11" t="s">
        <v>276</v>
      </c>
      <c r="R4" s="11" t="s">
        <v>126</v>
      </c>
      <c r="S4" s="11" t="s">
        <v>1144</v>
      </c>
      <c r="T4" s="10" t="s">
        <v>1145</v>
      </c>
    </row>
    <row r="5" ht="27" spans="1:20">
      <c r="A5" s="3" t="s">
        <v>1146</v>
      </c>
      <c r="B5" s="4" t="s">
        <v>257</v>
      </c>
      <c r="C5" s="4" t="s">
        <v>271</v>
      </c>
      <c r="D5" s="4" t="s">
        <v>284</v>
      </c>
      <c r="E5" s="18">
        <v>46205</v>
      </c>
      <c r="F5" s="4" t="s">
        <v>1147</v>
      </c>
      <c r="G5" s="4" t="s">
        <v>272</v>
      </c>
      <c r="H5" s="4" t="s">
        <v>73</v>
      </c>
      <c r="I5" s="4" t="s">
        <v>75</v>
      </c>
      <c r="J5" s="4" t="s">
        <v>283</v>
      </c>
      <c r="K5" s="4">
        <v>31</v>
      </c>
      <c r="L5" s="4">
        <v>244</v>
      </c>
      <c r="M5" s="4">
        <v>39</v>
      </c>
      <c r="N5" s="4">
        <v>7</v>
      </c>
      <c r="O5" s="4">
        <v>6</v>
      </c>
      <c r="P5" s="4">
        <v>1</v>
      </c>
      <c r="Q5" s="4" t="s">
        <v>276</v>
      </c>
      <c r="R5" s="4" t="s">
        <v>126</v>
      </c>
      <c r="S5" s="4" t="s">
        <v>1148</v>
      </c>
      <c r="T5" s="3" t="s">
        <v>1149</v>
      </c>
    </row>
    <row r="6" ht="40.5" spans="1:20">
      <c r="A6" s="10" t="s">
        <v>1150</v>
      </c>
      <c r="B6" s="11" t="s">
        <v>290</v>
      </c>
      <c r="C6" s="11" t="s">
        <v>292</v>
      </c>
      <c r="D6" s="11" t="s">
        <v>293</v>
      </c>
      <c r="E6" s="17">
        <v>46224.8291666667</v>
      </c>
      <c r="F6" s="11" t="s">
        <v>1151</v>
      </c>
      <c r="G6" s="11" t="s">
        <v>220</v>
      </c>
      <c r="H6" s="11" t="s">
        <v>73</v>
      </c>
      <c r="I6" s="11" t="s">
        <v>75</v>
      </c>
      <c r="J6" s="11" t="s">
        <v>291</v>
      </c>
      <c r="K6" s="11">
        <v>35</v>
      </c>
      <c r="L6" s="11">
        <v>39</v>
      </c>
      <c r="M6" s="11">
        <v>43</v>
      </c>
      <c r="N6" s="11">
        <v>2</v>
      </c>
      <c r="O6" s="11">
        <v>2</v>
      </c>
      <c r="P6" s="11">
        <v>0</v>
      </c>
      <c r="Q6" s="11" t="s">
        <v>276</v>
      </c>
      <c r="R6" s="11" t="s">
        <v>126</v>
      </c>
      <c r="S6" s="11" t="s">
        <v>1152</v>
      </c>
      <c r="T6" s="10" t="s">
        <v>1153</v>
      </c>
    </row>
    <row r="7" ht="27" spans="1:20">
      <c r="A7" s="3" t="s">
        <v>1154</v>
      </c>
      <c r="B7" s="4" t="s">
        <v>257</v>
      </c>
      <c r="C7" s="4" t="s">
        <v>299</v>
      </c>
      <c r="D7" s="4" t="s">
        <v>300</v>
      </c>
      <c r="E7" s="18">
        <v>46233</v>
      </c>
      <c r="F7" s="4" t="s">
        <v>1155</v>
      </c>
      <c r="G7" s="4" t="s">
        <v>220</v>
      </c>
      <c r="H7" s="4" t="s">
        <v>73</v>
      </c>
      <c r="I7" s="4" t="s">
        <v>75</v>
      </c>
      <c r="J7" s="4" t="s">
        <v>298</v>
      </c>
      <c r="K7" s="4">
        <v>8</v>
      </c>
      <c r="L7" s="4">
        <v>18</v>
      </c>
      <c r="M7" s="4">
        <v>5</v>
      </c>
      <c r="N7" s="4">
        <v>1</v>
      </c>
      <c r="O7" s="4">
        <v>1</v>
      </c>
      <c r="P7" s="4">
        <v>0</v>
      </c>
      <c r="Q7" s="4" t="s">
        <v>276</v>
      </c>
      <c r="R7" s="4" t="s">
        <v>126</v>
      </c>
      <c r="S7" s="4" t="s">
        <v>1156</v>
      </c>
      <c r="T7" s="3" t="s">
        <v>1157</v>
      </c>
    </row>
    <row r="8" ht="27" spans="1:20">
      <c r="A8" s="10" t="s">
        <v>1158</v>
      </c>
      <c r="B8" s="11" t="s">
        <v>257</v>
      </c>
      <c r="C8" s="11" t="s">
        <v>305</v>
      </c>
      <c r="D8" s="11" t="s">
        <v>306</v>
      </c>
      <c r="E8" s="17">
        <v>46216</v>
      </c>
      <c r="F8" s="11" t="s">
        <v>1159</v>
      </c>
      <c r="G8" s="11" t="s">
        <v>220</v>
      </c>
      <c r="H8" s="11" t="s">
        <v>73</v>
      </c>
      <c r="I8" s="11" t="s">
        <v>75</v>
      </c>
      <c r="J8" s="11" t="s">
        <v>304</v>
      </c>
      <c r="K8" s="11">
        <v>12</v>
      </c>
      <c r="L8" s="11">
        <v>11</v>
      </c>
      <c r="M8" s="11">
        <v>10</v>
      </c>
      <c r="N8" s="11">
        <v>1</v>
      </c>
      <c r="O8" s="11">
        <v>1</v>
      </c>
      <c r="P8" s="11">
        <v>0</v>
      </c>
      <c r="Q8" s="11" t="s">
        <v>276</v>
      </c>
      <c r="R8" s="11" t="s">
        <v>126</v>
      </c>
      <c r="S8" s="11" t="s">
        <v>1160</v>
      </c>
      <c r="T8" s="10" t="s">
        <v>1161</v>
      </c>
    </row>
    <row r="9" ht="27" spans="1:20">
      <c r="A9" s="3" t="s">
        <v>1162</v>
      </c>
      <c r="B9" s="4" t="s">
        <v>257</v>
      </c>
      <c r="C9" s="4" t="s">
        <v>305</v>
      </c>
      <c r="D9" s="4" t="s">
        <v>311</v>
      </c>
      <c r="E9" s="18">
        <v>46232</v>
      </c>
      <c r="F9" s="4" t="s">
        <v>1163</v>
      </c>
      <c r="G9" s="4" t="s">
        <v>220</v>
      </c>
      <c r="H9" s="4" t="s">
        <v>73</v>
      </c>
      <c r="I9" s="4" t="s">
        <v>75</v>
      </c>
      <c r="J9" s="4" t="s">
        <v>310</v>
      </c>
      <c r="K9" s="4">
        <v>14</v>
      </c>
      <c r="L9" s="4">
        <v>5</v>
      </c>
      <c r="M9" s="4">
        <v>9</v>
      </c>
      <c r="N9" s="4">
        <v>2</v>
      </c>
      <c r="O9" s="4">
        <v>2</v>
      </c>
      <c r="P9" s="4">
        <v>0</v>
      </c>
      <c r="Q9" s="4" t="s">
        <v>276</v>
      </c>
      <c r="R9" s="4" t="s">
        <v>126</v>
      </c>
      <c r="S9" s="4" t="s">
        <v>1164</v>
      </c>
      <c r="T9" s="3" t="s">
        <v>1165</v>
      </c>
    </row>
    <row r="10" ht="27" spans="1:20">
      <c r="A10" s="10" t="s">
        <v>1166</v>
      </c>
      <c r="B10" s="11" t="s">
        <v>257</v>
      </c>
      <c r="C10" s="11" t="s">
        <v>305</v>
      </c>
      <c r="D10" s="11" t="s">
        <v>314</v>
      </c>
      <c r="E10" s="17">
        <v>46225</v>
      </c>
      <c r="F10" s="11" t="s">
        <v>1167</v>
      </c>
      <c r="G10" s="11" t="s">
        <v>220</v>
      </c>
      <c r="H10" s="11" t="s">
        <v>73</v>
      </c>
      <c r="I10" s="11" t="s">
        <v>75</v>
      </c>
      <c r="J10" s="11" t="s">
        <v>313</v>
      </c>
      <c r="K10" s="11">
        <v>8</v>
      </c>
      <c r="L10" s="11">
        <v>4</v>
      </c>
      <c r="M10" s="11">
        <v>9</v>
      </c>
      <c r="N10" s="11">
        <v>1</v>
      </c>
      <c r="O10" s="11">
        <v>1</v>
      </c>
      <c r="P10" s="11">
        <v>0</v>
      </c>
      <c r="Q10" s="11" t="s">
        <v>276</v>
      </c>
      <c r="R10" s="11" t="s">
        <v>126</v>
      </c>
      <c r="S10" s="11" t="s">
        <v>1160</v>
      </c>
      <c r="T10" s="10" t="s">
        <v>1168</v>
      </c>
    </row>
    <row r="11" ht="27" spans="1:20">
      <c r="A11" s="3" t="s">
        <v>1169</v>
      </c>
      <c r="B11" s="4" t="s">
        <v>257</v>
      </c>
      <c r="C11" s="4" t="s">
        <v>299</v>
      </c>
      <c r="D11" s="4" t="s">
        <v>316</v>
      </c>
      <c r="E11" s="18">
        <v>46213</v>
      </c>
      <c r="F11" s="4" t="s">
        <v>1139</v>
      </c>
      <c r="G11" s="4" t="s">
        <v>220</v>
      </c>
      <c r="H11" s="4" t="s">
        <v>73</v>
      </c>
      <c r="I11" s="4" t="s">
        <v>75</v>
      </c>
      <c r="J11" s="4" t="s">
        <v>315</v>
      </c>
      <c r="K11" s="4">
        <v>23</v>
      </c>
      <c r="L11" s="4">
        <v>26</v>
      </c>
      <c r="M11" s="4">
        <v>12</v>
      </c>
      <c r="N11" s="4">
        <v>1</v>
      </c>
      <c r="O11" s="4">
        <v>1</v>
      </c>
      <c r="P11" s="4">
        <v>0</v>
      </c>
      <c r="Q11" s="4" t="s">
        <v>276</v>
      </c>
      <c r="R11" s="4" t="s">
        <v>126</v>
      </c>
      <c r="S11" s="4" t="s">
        <v>1170</v>
      </c>
      <c r="T11" s="3" t="s">
        <v>1171</v>
      </c>
    </row>
    <row r="12" ht="40.5" spans="1:20">
      <c r="A12" s="10" t="s">
        <v>1172</v>
      </c>
      <c r="B12" s="11" t="s">
        <v>257</v>
      </c>
      <c r="C12" s="11" t="s">
        <v>320</v>
      </c>
      <c r="D12" s="11" t="s">
        <v>322</v>
      </c>
      <c r="E12" s="17">
        <v>46238</v>
      </c>
      <c r="F12" s="11" t="s">
        <v>1173</v>
      </c>
      <c r="G12" s="11" t="s">
        <v>164</v>
      </c>
      <c r="H12" s="11" t="s">
        <v>153</v>
      </c>
      <c r="I12" s="11" t="s">
        <v>321</v>
      </c>
      <c r="J12" s="11" t="s">
        <v>319</v>
      </c>
      <c r="K12" s="11">
        <v>7</v>
      </c>
      <c r="L12" s="11">
        <v>4</v>
      </c>
      <c r="M12" s="11">
        <v>8</v>
      </c>
      <c r="N12" s="11">
        <v>3</v>
      </c>
      <c r="O12" s="11">
        <v>3</v>
      </c>
      <c r="P12" s="11">
        <v>0</v>
      </c>
      <c r="Q12" s="11" t="s">
        <v>325</v>
      </c>
      <c r="R12" s="11" t="s">
        <v>126</v>
      </c>
      <c r="S12" s="11" t="s">
        <v>1174</v>
      </c>
      <c r="T12" s="10" t="s">
        <v>1175</v>
      </c>
    </row>
    <row r="13" ht="27" spans="1:20">
      <c r="A13" s="3" t="s">
        <v>1176</v>
      </c>
      <c r="B13" s="4" t="s">
        <v>257</v>
      </c>
      <c r="C13" s="4" t="s">
        <v>329</v>
      </c>
      <c r="D13" s="4" t="s">
        <v>331</v>
      </c>
      <c r="E13" s="18">
        <v>46204</v>
      </c>
      <c r="F13" s="4" t="s">
        <v>1177</v>
      </c>
      <c r="G13" s="4" t="s">
        <v>330</v>
      </c>
      <c r="H13" s="4" t="s">
        <v>73</v>
      </c>
      <c r="I13" s="4" t="s">
        <v>75</v>
      </c>
      <c r="J13" s="4" t="s">
        <v>328</v>
      </c>
      <c r="K13" s="4">
        <v>16</v>
      </c>
      <c r="L13" s="4">
        <v>21</v>
      </c>
      <c r="M13" s="4">
        <v>20</v>
      </c>
      <c r="N13" s="4">
        <v>7</v>
      </c>
      <c r="O13" s="4">
        <v>7</v>
      </c>
      <c r="P13" s="4">
        <v>0</v>
      </c>
      <c r="Q13" s="4" t="s">
        <v>276</v>
      </c>
      <c r="R13" s="4" t="s">
        <v>126</v>
      </c>
      <c r="S13" s="4" t="s">
        <v>1178</v>
      </c>
      <c r="T13" s="3" t="s">
        <v>1179</v>
      </c>
    </row>
    <row r="14" ht="27" spans="1:20">
      <c r="A14" s="10" t="s">
        <v>1180</v>
      </c>
      <c r="B14" s="11" t="s">
        <v>257</v>
      </c>
      <c r="C14" s="11" t="s">
        <v>336</v>
      </c>
      <c r="D14" s="11" t="s">
        <v>338</v>
      </c>
      <c r="E14" s="17">
        <v>46204</v>
      </c>
      <c r="F14" s="11" t="s">
        <v>1177</v>
      </c>
      <c r="G14" s="11" t="s">
        <v>337</v>
      </c>
      <c r="H14" s="11" t="s">
        <v>73</v>
      </c>
      <c r="I14" s="11" t="s">
        <v>75</v>
      </c>
      <c r="J14" s="11" t="s">
        <v>335</v>
      </c>
      <c r="K14" s="11">
        <v>17</v>
      </c>
      <c r="L14" s="11">
        <v>19</v>
      </c>
      <c r="M14" s="11">
        <v>9</v>
      </c>
      <c r="N14" s="11">
        <v>4</v>
      </c>
      <c r="O14" s="11">
        <v>4</v>
      </c>
      <c r="P14" s="11">
        <v>0</v>
      </c>
      <c r="Q14" s="11" t="s">
        <v>276</v>
      </c>
      <c r="R14" s="11" t="s">
        <v>126</v>
      </c>
      <c r="S14" s="11" t="s">
        <v>1181</v>
      </c>
      <c r="T14" s="10" t="s">
        <v>1182</v>
      </c>
    </row>
    <row r="15" ht="27" spans="1:20">
      <c r="A15" s="3" t="s">
        <v>1183</v>
      </c>
      <c r="B15" s="3" t="s">
        <v>342</v>
      </c>
      <c r="C15" s="3" t="s">
        <v>271</v>
      </c>
      <c r="D15" s="3" t="s">
        <v>344</v>
      </c>
      <c r="E15" s="19">
        <v>46219</v>
      </c>
      <c r="F15" s="3" t="s">
        <v>1184</v>
      </c>
      <c r="G15" s="3" t="s">
        <v>272</v>
      </c>
      <c r="H15" s="3" t="s">
        <v>73</v>
      </c>
      <c r="I15" s="3" t="s">
        <v>75</v>
      </c>
      <c r="J15" s="3" t="s">
        <v>343</v>
      </c>
      <c r="K15" s="3">
        <v>27</v>
      </c>
      <c r="L15" s="3">
        <v>1</v>
      </c>
      <c r="M15" s="3"/>
      <c r="N15" s="3">
        <v>7</v>
      </c>
      <c r="O15" s="3">
        <v>7</v>
      </c>
      <c r="P15" s="3">
        <v>0</v>
      </c>
      <c r="Q15" s="3" t="s">
        <v>346</v>
      </c>
      <c r="R15" s="3" t="s">
        <v>126</v>
      </c>
      <c r="S15" s="3" t="s">
        <v>1185</v>
      </c>
      <c r="T15" s="3" t="s">
        <v>1186</v>
      </c>
    </row>
    <row r="16" ht="40.5" spans="1:20">
      <c r="A16" s="13" t="s">
        <v>1187</v>
      </c>
      <c r="B16" s="13" t="s">
        <v>342</v>
      </c>
      <c r="C16" s="13" t="s">
        <v>271</v>
      </c>
      <c r="D16" s="13" t="s">
        <v>351</v>
      </c>
      <c r="E16" s="20">
        <v>46220</v>
      </c>
      <c r="F16" s="13" t="s">
        <v>1188</v>
      </c>
      <c r="G16" s="13" t="s">
        <v>272</v>
      </c>
      <c r="H16" s="13" t="s">
        <v>73</v>
      </c>
      <c r="I16" s="13" t="s">
        <v>75</v>
      </c>
      <c r="J16" s="13" t="s">
        <v>350</v>
      </c>
      <c r="K16" s="13">
        <v>57</v>
      </c>
      <c r="L16" s="13">
        <v>2</v>
      </c>
      <c r="M16" s="13">
        <v>3</v>
      </c>
      <c r="N16" s="13">
        <v>8</v>
      </c>
      <c r="O16" s="13">
        <v>7</v>
      </c>
      <c r="P16" s="13">
        <v>1</v>
      </c>
      <c r="Q16" s="13" t="s">
        <v>352</v>
      </c>
      <c r="R16" s="13" t="s">
        <v>126</v>
      </c>
      <c r="S16" s="13" t="s">
        <v>1189</v>
      </c>
      <c r="T16" s="13" t="s">
        <v>1190</v>
      </c>
    </row>
    <row r="17" ht="27" spans="1:20">
      <c r="A17" s="13" t="s">
        <v>1191</v>
      </c>
      <c r="B17" s="13" t="s">
        <v>342</v>
      </c>
      <c r="C17" s="13" t="s">
        <v>217</v>
      </c>
      <c r="D17" s="13" t="s">
        <v>357</v>
      </c>
      <c r="E17" s="20">
        <v>46217</v>
      </c>
      <c r="F17" s="13" t="s">
        <v>1192</v>
      </c>
      <c r="G17" s="13" t="s">
        <v>355</v>
      </c>
      <c r="H17" s="13" t="s">
        <v>73</v>
      </c>
      <c r="I17" s="13" t="s">
        <v>75</v>
      </c>
      <c r="J17" s="13" t="s">
        <v>354</v>
      </c>
      <c r="K17" s="13">
        <v>8</v>
      </c>
      <c r="L17" s="13">
        <v>8</v>
      </c>
      <c r="M17" s="13">
        <v>2</v>
      </c>
      <c r="N17" s="13">
        <v>1</v>
      </c>
      <c r="O17" s="13">
        <v>1</v>
      </c>
      <c r="P17" s="13">
        <v>0</v>
      </c>
      <c r="Q17" s="13" t="s">
        <v>359</v>
      </c>
      <c r="R17" s="13" t="s">
        <v>126</v>
      </c>
      <c r="S17" s="13" t="s">
        <v>1193</v>
      </c>
      <c r="T17" s="13" t="s">
        <v>1194</v>
      </c>
    </row>
    <row r="18" ht="27" spans="1:20">
      <c r="A18" s="13" t="s">
        <v>1195</v>
      </c>
      <c r="B18" s="13" t="s">
        <v>342</v>
      </c>
      <c r="C18" s="13" t="s">
        <v>217</v>
      </c>
      <c r="D18" s="13" t="s">
        <v>362</v>
      </c>
      <c r="E18" s="20">
        <v>46204</v>
      </c>
      <c r="F18" s="13" t="s">
        <v>1196</v>
      </c>
      <c r="G18" s="13" t="s">
        <v>355</v>
      </c>
      <c r="H18" s="13" t="s">
        <v>73</v>
      </c>
      <c r="I18" s="13" t="s">
        <v>75</v>
      </c>
      <c r="J18" s="13" t="s">
        <v>361</v>
      </c>
      <c r="K18" s="13">
        <v>24</v>
      </c>
      <c r="L18" s="13">
        <v>4</v>
      </c>
      <c r="M18" s="13">
        <v>5</v>
      </c>
      <c r="N18" s="13">
        <v>1</v>
      </c>
      <c r="O18" s="13">
        <v>1</v>
      </c>
      <c r="P18" s="13">
        <v>0</v>
      </c>
      <c r="Q18" s="13" t="s">
        <v>364</v>
      </c>
      <c r="R18" s="13" t="s">
        <v>126</v>
      </c>
      <c r="S18" s="13" t="s">
        <v>1197</v>
      </c>
      <c r="T18" s="13" t="s">
        <v>1198</v>
      </c>
    </row>
    <row r="19" ht="54" spans="1:20">
      <c r="A19" s="13" t="s">
        <v>1199</v>
      </c>
      <c r="B19" s="13" t="s">
        <v>342</v>
      </c>
      <c r="C19" s="13" t="s">
        <v>367</v>
      </c>
      <c r="D19" s="13" t="s">
        <v>369</v>
      </c>
      <c r="E19" s="20">
        <v>46229</v>
      </c>
      <c r="F19" s="13" t="s">
        <v>1200</v>
      </c>
      <c r="G19" s="13" t="s">
        <v>368</v>
      </c>
      <c r="H19" s="13" t="s">
        <v>73</v>
      </c>
      <c r="I19" s="13" t="s">
        <v>75</v>
      </c>
      <c r="J19" s="13" t="s">
        <v>366</v>
      </c>
      <c r="K19" s="13">
        <v>48</v>
      </c>
      <c r="L19" s="13">
        <v>3</v>
      </c>
      <c r="M19" s="13">
        <v>3</v>
      </c>
      <c r="N19" s="13">
        <v>2</v>
      </c>
      <c r="O19" s="13">
        <v>1</v>
      </c>
      <c r="P19" s="13">
        <v>1</v>
      </c>
      <c r="Q19" s="13" t="s">
        <v>372</v>
      </c>
      <c r="R19" s="13" t="s">
        <v>126</v>
      </c>
      <c r="S19" s="13" t="s">
        <v>1201</v>
      </c>
      <c r="T19" s="13" t="s">
        <v>1202</v>
      </c>
    </row>
    <row r="20" ht="27" spans="1:20">
      <c r="A20" s="13" t="s">
        <v>1203</v>
      </c>
      <c r="B20" s="13" t="s">
        <v>342</v>
      </c>
      <c r="C20" s="13" t="s">
        <v>217</v>
      </c>
      <c r="D20" s="13" t="s">
        <v>376</v>
      </c>
      <c r="E20" s="20">
        <v>46230</v>
      </c>
      <c r="F20" s="13" t="s">
        <v>1204</v>
      </c>
      <c r="G20" s="13" t="s">
        <v>355</v>
      </c>
      <c r="H20" s="13" t="s">
        <v>73</v>
      </c>
      <c r="I20" s="13" t="s">
        <v>75</v>
      </c>
      <c r="J20" s="13" t="s">
        <v>375</v>
      </c>
      <c r="K20" s="13">
        <v>9</v>
      </c>
      <c r="L20" s="13">
        <v>2</v>
      </c>
      <c r="M20" s="13">
        <v>3</v>
      </c>
      <c r="N20" s="13">
        <v>4</v>
      </c>
      <c r="O20" s="13">
        <v>1</v>
      </c>
      <c r="P20" s="13">
        <v>3</v>
      </c>
      <c r="Q20" s="13" t="s">
        <v>378</v>
      </c>
      <c r="R20" s="13" t="s">
        <v>126</v>
      </c>
      <c r="S20" s="13" t="s">
        <v>1205</v>
      </c>
      <c r="T20" s="13" t="s">
        <v>1206</v>
      </c>
    </row>
    <row r="21" ht="27" spans="1:20">
      <c r="A21" s="13" t="s">
        <v>1207</v>
      </c>
      <c r="B21" s="13" t="s">
        <v>342</v>
      </c>
      <c r="C21" s="13" t="s">
        <v>381</v>
      </c>
      <c r="D21" s="13" t="s">
        <v>383</v>
      </c>
      <c r="E21" s="20">
        <v>46232</v>
      </c>
      <c r="F21" s="13" t="s">
        <v>1208</v>
      </c>
      <c r="G21" s="13" t="s">
        <v>382</v>
      </c>
      <c r="H21" s="13" t="s">
        <v>73</v>
      </c>
      <c r="I21" s="13" t="s">
        <v>75</v>
      </c>
      <c r="J21" s="13" t="s">
        <v>380</v>
      </c>
      <c r="K21" s="13">
        <v>2</v>
      </c>
      <c r="L21" s="13"/>
      <c r="M21" s="13"/>
      <c r="N21" s="13">
        <v>1</v>
      </c>
      <c r="O21" s="13">
        <v>0</v>
      </c>
      <c r="P21" s="13">
        <v>1</v>
      </c>
      <c r="Q21" s="13" t="s">
        <v>386</v>
      </c>
      <c r="R21" s="13" t="s">
        <v>126</v>
      </c>
      <c r="S21" s="13" t="s">
        <v>1209</v>
      </c>
      <c r="T21" s="13" t="s">
        <v>1210</v>
      </c>
    </row>
    <row r="22" ht="27" spans="1:20">
      <c r="A22" s="13" t="s">
        <v>1211</v>
      </c>
      <c r="B22" s="13" t="s">
        <v>257</v>
      </c>
      <c r="C22" s="13" t="s">
        <v>390</v>
      </c>
      <c r="D22" s="13" t="s">
        <v>393</v>
      </c>
      <c r="E22" s="20">
        <v>46204</v>
      </c>
      <c r="F22" s="13" t="s">
        <v>1177</v>
      </c>
      <c r="G22" s="13" t="s">
        <v>392</v>
      </c>
      <c r="H22" s="13" t="s">
        <v>153</v>
      </c>
      <c r="I22" s="13" t="s">
        <v>75</v>
      </c>
      <c r="J22" s="13" t="s">
        <v>1212</v>
      </c>
      <c r="K22" s="13">
        <v>125</v>
      </c>
      <c r="L22" s="13">
        <v>202</v>
      </c>
      <c r="M22" s="13">
        <v>135</v>
      </c>
      <c r="N22" s="13">
        <v>7</v>
      </c>
      <c r="O22" s="13">
        <v>7</v>
      </c>
      <c r="P22" s="13">
        <v>0</v>
      </c>
      <c r="Q22" s="13" t="s">
        <v>276</v>
      </c>
      <c r="R22" s="13" t="s">
        <v>126</v>
      </c>
      <c r="S22" s="13" t="s">
        <v>1213</v>
      </c>
      <c r="T22" s="13" t="s">
        <v>1214</v>
      </c>
    </row>
    <row r="23" ht="27" spans="1:20">
      <c r="A23" s="13" t="s">
        <v>1215</v>
      </c>
      <c r="B23" s="13" t="s">
        <v>400</v>
      </c>
      <c r="C23" s="13" t="s">
        <v>402</v>
      </c>
      <c r="D23" s="13" t="s">
        <v>406</v>
      </c>
      <c r="E23" s="20">
        <v>46222.6166666667</v>
      </c>
      <c r="F23" s="13" t="s">
        <v>1216</v>
      </c>
      <c r="G23" s="13" t="s">
        <v>404</v>
      </c>
      <c r="H23" s="13" t="s">
        <v>73</v>
      </c>
      <c r="I23" s="13" t="s">
        <v>75</v>
      </c>
      <c r="J23" s="13" t="s">
        <v>1217</v>
      </c>
      <c r="K23" s="13">
        <v>25</v>
      </c>
      <c r="L23" s="13">
        <v>4</v>
      </c>
      <c r="M23" s="13"/>
      <c r="N23" s="13">
        <v>9</v>
      </c>
      <c r="O23" s="13">
        <v>3</v>
      </c>
      <c r="P23" s="13">
        <v>6</v>
      </c>
      <c r="Q23" s="13" t="s">
        <v>409</v>
      </c>
      <c r="R23" s="13" t="s">
        <v>126</v>
      </c>
      <c r="S23" s="13" t="s">
        <v>1218</v>
      </c>
      <c r="T23" s="13" t="s">
        <v>1219</v>
      </c>
    </row>
    <row r="24" ht="27" spans="1:20">
      <c r="A24" s="13" t="s">
        <v>1220</v>
      </c>
      <c r="B24" s="13" t="s">
        <v>400</v>
      </c>
      <c r="C24" s="13" t="s">
        <v>415</v>
      </c>
      <c r="D24" s="13" t="s">
        <v>418</v>
      </c>
      <c r="E24" s="20">
        <v>46239.7104166667</v>
      </c>
      <c r="F24" s="13" t="s">
        <v>1221</v>
      </c>
      <c r="G24" s="13" t="s">
        <v>220</v>
      </c>
      <c r="H24" s="13" t="s">
        <v>73</v>
      </c>
      <c r="I24" s="13" t="s">
        <v>75</v>
      </c>
      <c r="J24" s="13" t="s">
        <v>1222</v>
      </c>
      <c r="K24" s="13">
        <v>4</v>
      </c>
      <c r="L24" s="13">
        <v>2</v>
      </c>
      <c r="M24" s="13"/>
      <c r="N24" s="13">
        <v>2</v>
      </c>
      <c r="O24" s="13">
        <v>0</v>
      </c>
      <c r="P24" s="13">
        <v>2</v>
      </c>
      <c r="Q24" s="13" t="s">
        <v>421</v>
      </c>
      <c r="R24" s="13" t="s">
        <v>126</v>
      </c>
      <c r="S24" s="13" t="s">
        <v>1223</v>
      </c>
      <c r="T24" s="13" t="s">
        <v>1224</v>
      </c>
    </row>
    <row r="25" ht="40.5" spans="1:20">
      <c r="A25" s="13" t="s">
        <v>1225</v>
      </c>
      <c r="B25" s="13" t="s">
        <v>400</v>
      </c>
      <c r="C25" s="13" t="s">
        <v>427</v>
      </c>
      <c r="D25" s="13" t="s">
        <v>430</v>
      </c>
      <c r="E25" s="20">
        <v>46204.6881944444</v>
      </c>
      <c r="F25" s="13" t="s">
        <v>1226</v>
      </c>
      <c r="G25" s="13" t="s">
        <v>429</v>
      </c>
      <c r="H25" s="13" t="s">
        <v>73</v>
      </c>
      <c r="I25" s="13" t="s">
        <v>75</v>
      </c>
      <c r="J25" s="13" t="s">
        <v>1227</v>
      </c>
      <c r="K25" s="13">
        <v>21</v>
      </c>
      <c r="L25" s="13">
        <v>3</v>
      </c>
      <c r="M25" s="13"/>
      <c r="N25" s="13">
        <v>11</v>
      </c>
      <c r="O25" s="13">
        <v>2</v>
      </c>
      <c r="P25" s="13">
        <v>9</v>
      </c>
      <c r="Q25" s="13" t="s">
        <v>433</v>
      </c>
      <c r="R25" s="13" t="s">
        <v>126</v>
      </c>
      <c r="S25" s="13" t="s">
        <v>1228</v>
      </c>
      <c r="T25" s="13" t="s">
        <v>1229</v>
      </c>
    </row>
    <row r="26" ht="94.5" spans="1:20">
      <c r="A26" s="13" t="s">
        <v>1230</v>
      </c>
      <c r="B26" s="13" t="s">
        <v>438</v>
      </c>
      <c r="C26" s="13" t="s">
        <v>440</v>
      </c>
      <c r="D26" s="13" t="s">
        <v>445</v>
      </c>
      <c r="E26" s="20">
        <v>46207</v>
      </c>
      <c r="F26" s="13" t="s">
        <v>1231</v>
      </c>
      <c r="G26" s="13" t="s">
        <v>442</v>
      </c>
      <c r="H26" s="13" t="s">
        <v>153</v>
      </c>
      <c r="I26" s="13" t="s">
        <v>444</v>
      </c>
      <c r="J26" s="13" t="s">
        <v>1232</v>
      </c>
      <c r="K26" s="13"/>
      <c r="L26" s="13"/>
      <c r="M26" s="13"/>
      <c r="N26" s="13">
        <v>758</v>
      </c>
      <c r="O26" s="13">
        <v>685</v>
      </c>
      <c r="P26" s="13">
        <v>2</v>
      </c>
      <c r="Q26" s="13" t="s">
        <v>448</v>
      </c>
      <c r="R26" s="13" t="s">
        <v>126</v>
      </c>
      <c r="S26" s="13" t="s">
        <v>1233</v>
      </c>
      <c r="T26" s="13" t="s">
        <v>1234</v>
      </c>
    </row>
    <row r="27" spans="1:20">
      <c r="A27" s="3"/>
      <c r="B27" s="3"/>
      <c r="C27" s="3"/>
      <c r="D27" s="3"/>
      <c r="E27" s="19"/>
      <c r="F27" s="3"/>
      <c r="G27" s="3"/>
      <c r="H27" s="3"/>
      <c r="I27" s="3"/>
      <c r="J27" s="3"/>
      <c r="K27" s="3"/>
      <c r="L27" s="3"/>
      <c r="M27" s="3"/>
      <c r="N27" s="3"/>
      <c r="O27" s="3"/>
      <c r="P27" s="3"/>
      <c r="Q27" s="3"/>
      <c r="R27" s="3"/>
      <c r="S27" s="3"/>
      <c r="T27" s="3"/>
    </row>
  </sheetData>
  <conditionalFormatting sqref="R2:R15">
    <cfRule type="expression" dxfId="0" priority="1">
      <formula>R2="是"</formula>
    </cfRule>
  </conditionalFormatting>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3"/>
  <sheetViews>
    <sheetView workbookViewId="0">
      <selection activeCell="A1" sqref="A1"/>
    </sheetView>
  </sheetViews>
  <sheetFormatPr defaultColWidth="9" defaultRowHeight="13.5"/>
  <cols>
    <col min="1" max="1" width="7" customWidth="1"/>
    <col min="2" max="2" width="10" customWidth="1"/>
    <col min="3" max="3" width="15" customWidth="1"/>
    <col min="4" max="4" width="27" customWidth="1"/>
    <col min="5" max="5" width="50" customWidth="1"/>
    <col min="6" max="7" width="15" customWidth="1"/>
    <col min="8" max="8" width="22" customWidth="1"/>
    <col min="9" max="9" width="16" customWidth="1"/>
    <col min="10" max="10" width="42" customWidth="1"/>
    <col min="11" max="11" width="24" customWidth="1"/>
    <col min="12" max="12" width="13" customWidth="1"/>
    <col min="13" max="13" width="17" customWidth="1"/>
    <col min="14" max="14" width="26" customWidth="1"/>
    <col min="15" max="15" width="30" customWidth="1"/>
    <col min="16" max="16" width="14" customWidth="1"/>
    <col min="17" max="17" width="11" customWidth="1"/>
    <col min="18" max="18" width="42" customWidth="1"/>
    <col min="19" max="19" width="18" customWidth="1"/>
    <col min="20" max="20" width="14" customWidth="1"/>
    <col min="21" max="21" width="52" customWidth="1"/>
    <col min="22" max="22" width="28" customWidth="1"/>
  </cols>
  <sheetData>
    <row r="1" spans="1:22">
      <c r="A1" s="2" t="s">
        <v>42</v>
      </c>
      <c r="B1" s="2" t="s">
        <v>1121</v>
      </c>
      <c r="C1" s="2" t="s">
        <v>1122</v>
      </c>
      <c r="D1" s="2" t="s">
        <v>1235</v>
      </c>
      <c r="E1" s="2" t="s">
        <v>1123</v>
      </c>
      <c r="F1" s="2" t="s">
        <v>1236</v>
      </c>
      <c r="G1" s="2" t="s">
        <v>1237</v>
      </c>
      <c r="H1" s="2" t="s">
        <v>1238</v>
      </c>
      <c r="I1" s="2" t="s">
        <v>1239</v>
      </c>
      <c r="J1" s="2" t="s">
        <v>1240</v>
      </c>
      <c r="K1" s="2" t="s">
        <v>1241</v>
      </c>
      <c r="L1" s="2" t="s">
        <v>60</v>
      </c>
      <c r="M1" s="2" t="s">
        <v>1242</v>
      </c>
      <c r="N1" s="2" t="s">
        <v>61</v>
      </c>
      <c r="O1" s="2" t="s">
        <v>50</v>
      </c>
      <c r="P1" s="2" t="s">
        <v>53</v>
      </c>
      <c r="Q1" s="2" t="s">
        <v>1243</v>
      </c>
      <c r="R1" s="2" t="s">
        <v>1131</v>
      </c>
      <c r="S1" s="2" t="s">
        <v>66</v>
      </c>
      <c r="T1" s="2" t="s">
        <v>63</v>
      </c>
      <c r="U1" s="2" t="s">
        <v>1132</v>
      </c>
      <c r="V1" s="2" t="s">
        <v>1133</v>
      </c>
    </row>
    <row r="2" ht="27" spans="1:22">
      <c r="A2" s="10">
        <v>1</v>
      </c>
      <c r="B2" s="11" t="s">
        <v>1134</v>
      </c>
      <c r="C2" s="11" t="s">
        <v>257</v>
      </c>
      <c r="D2" s="11" t="s">
        <v>259</v>
      </c>
      <c r="E2" s="11" t="s">
        <v>262</v>
      </c>
      <c r="F2" s="17">
        <v>46205</v>
      </c>
      <c r="G2" s="17">
        <v>46205</v>
      </c>
      <c r="H2" s="11" t="s">
        <v>1244</v>
      </c>
      <c r="I2" s="11" t="s">
        <v>1245</v>
      </c>
      <c r="J2" s="11" t="s">
        <v>1246</v>
      </c>
      <c r="K2" s="11" t="s">
        <v>1247</v>
      </c>
      <c r="L2" s="11" t="s">
        <v>516</v>
      </c>
      <c r="M2" s="11" t="s">
        <v>535</v>
      </c>
      <c r="N2" s="11" t="s">
        <v>1248</v>
      </c>
      <c r="O2" s="11" t="s">
        <v>132</v>
      </c>
      <c r="P2" s="11" t="s">
        <v>1249</v>
      </c>
      <c r="Q2" s="11">
        <v>1</v>
      </c>
      <c r="R2" s="11" t="s">
        <v>265</v>
      </c>
      <c r="S2" s="11" t="s">
        <v>126</v>
      </c>
      <c r="T2" s="11" t="s">
        <v>83</v>
      </c>
      <c r="U2" s="11" t="s">
        <v>1250</v>
      </c>
      <c r="V2" s="10" t="s">
        <v>1251</v>
      </c>
    </row>
    <row r="3" ht="27" spans="1:22">
      <c r="A3" s="3">
        <v>2</v>
      </c>
      <c r="B3" s="4" t="s">
        <v>1134</v>
      </c>
      <c r="C3" s="4" t="s">
        <v>257</v>
      </c>
      <c r="D3" s="4" t="s">
        <v>259</v>
      </c>
      <c r="E3" s="4" t="s">
        <v>262</v>
      </c>
      <c r="F3" s="18">
        <v>46205</v>
      </c>
      <c r="G3" s="18">
        <v>46205</v>
      </c>
      <c r="H3" s="4" t="s">
        <v>1252</v>
      </c>
      <c r="I3" s="4" t="s">
        <v>153</v>
      </c>
      <c r="J3" s="4" t="s">
        <v>1253</v>
      </c>
      <c r="K3" s="4" t="s">
        <v>1247</v>
      </c>
      <c r="L3" s="4" t="s">
        <v>516</v>
      </c>
      <c r="M3" s="4" t="s">
        <v>535</v>
      </c>
      <c r="N3" s="4" t="s">
        <v>1248</v>
      </c>
      <c r="O3" s="4" t="s">
        <v>132</v>
      </c>
      <c r="P3" s="4" t="s">
        <v>1249</v>
      </c>
      <c r="Q3" s="4"/>
      <c r="R3" s="4" t="s">
        <v>265</v>
      </c>
      <c r="S3" s="4" t="s">
        <v>126</v>
      </c>
      <c r="T3" s="4" t="s">
        <v>83</v>
      </c>
      <c r="U3" s="4" t="s">
        <v>1250</v>
      </c>
      <c r="V3" s="3" t="s">
        <v>1251</v>
      </c>
    </row>
    <row r="4" ht="27" spans="1:22">
      <c r="A4" s="10">
        <v>3</v>
      </c>
      <c r="B4" s="11" t="s">
        <v>1134</v>
      </c>
      <c r="C4" s="11" t="s">
        <v>257</v>
      </c>
      <c r="D4" s="11" t="s">
        <v>259</v>
      </c>
      <c r="E4" s="11" t="s">
        <v>262</v>
      </c>
      <c r="F4" s="17">
        <v>46205</v>
      </c>
      <c r="G4" s="17">
        <v>46206</v>
      </c>
      <c r="H4" s="11" t="s">
        <v>1254</v>
      </c>
      <c r="I4" s="11" t="s">
        <v>1245</v>
      </c>
      <c r="J4" s="11" t="s">
        <v>1255</v>
      </c>
      <c r="K4" s="11" t="s">
        <v>1247</v>
      </c>
      <c r="L4" s="11" t="s">
        <v>516</v>
      </c>
      <c r="M4" s="11" t="s">
        <v>535</v>
      </c>
      <c r="N4" s="11" t="s">
        <v>1248</v>
      </c>
      <c r="O4" s="11" t="s">
        <v>132</v>
      </c>
      <c r="P4" s="11" t="s">
        <v>1249</v>
      </c>
      <c r="Q4" s="11"/>
      <c r="R4" s="11" t="s">
        <v>265</v>
      </c>
      <c r="S4" s="11" t="s">
        <v>126</v>
      </c>
      <c r="T4" s="11" t="s">
        <v>83</v>
      </c>
      <c r="U4" s="11" t="s">
        <v>1250</v>
      </c>
      <c r="V4" s="10" t="s">
        <v>1251</v>
      </c>
    </row>
    <row r="5" ht="27" spans="1:22">
      <c r="A5" s="3">
        <v>4</v>
      </c>
      <c r="B5" s="4" t="s">
        <v>1134</v>
      </c>
      <c r="C5" s="4" t="s">
        <v>257</v>
      </c>
      <c r="D5" s="4" t="s">
        <v>259</v>
      </c>
      <c r="E5" s="4" t="s">
        <v>262</v>
      </c>
      <c r="F5" s="18">
        <v>46205</v>
      </c>
      <c r="G5" s="18">
        <v>46205</v>
      </c>
      <c r="H5" s="4" t="s">
        <v>1256</v>
      </c>
      <c r="I5" s="4" t="s">
        <v>1245</v>
      </c>
      <c r="J5" s="4" t="s">
        <v>1257</v>
      </c>
      <c r="K5" s="4" t="s">
        <v>1247</v>
      </c>
      <c r="L5" s="4" t="s">
        <v>516</v>
      </c>
      <c r="M5" s="4" t="s">
        <v>535</v>
      </c>
      <c r="N5" s="4" t="s">
        <v>1248</v>
      </c>
      <c r="O5" s="4" t="s">
        <v>132</v>
      </c>
      <c r="P5" s="4" t="s">
        <v>1249</v>
      </c>
      <c r="Q5" s="4"/>
      <c r="R5" s="4" t="s">
        <v>265</v>
      </c>
      <c r="S5" s="4" t="s">
        <v>126</v>
      </c>
      <c r="T5" s="4" t="s">
        <v>83</v>
      </c>
      <c r="U5" s="4" t="s">
        <v>1250</v>
      </c>
      <c r="V5" s="3" t="s">
        <v>1251</v>
      </c>
    </row>
    <row r="6" ht="27" spans="1:22">
      <c r="A6" s="10">
        <v>5</v>
      </c>
      <c r="B6" s="11" t="s">
        <v>1138</v>
      </c>
      <c r="C6" s="11" t="s">
        <v>257</v>
      </c>
      <c r="D6" s="11" t="s">
        <v>271</v>
      </c>
      <c r="E6" s="11" t="s">
        <v>273</v>
      </c>
      <c r="F6" s="17">
        <v>46213</v>
      </c>
      <c r="G6" s="17">
        <v>46213</v>
      </c>
      <c r="H6" s="11" t="s">
        <v>1258</v>
      </c>
      <c r="I6" s="11" t="s">
        <v>73</v>
      </c>
      <c r="J6" s="11" t="s">
        <v>1259</v>
      </c>
      <c r="K6" s="11" t="s">
        <v>1247</v>
      </c>
      <c r="L6" s="11" t="s">
        <v>516</v>
      </c>
      <c r="M6" s="11" t="s">
        <v>535</v>
      </c>
      <c r="N6" s="11" t="s">
        <v>1248</v>
      </c>
      <c r="O6" s="11" t="s">
        <v>272</v>
      </c>
      <c r="P6" s="11" t="s">
        <v>1249</v>
      </c>
      <c r="Q6" s="11"/>
      <c r="R6" s="11" t="s">
        <v>276</v>
      </c>
      <c r="S6" s="11" t="s">
        <v>126</v>
      </c>
      <c r="T6" s="11" t="s">
        <v>83</v>
      </c>
      <c r="U6" s="11" t="s">
        <v>1260</v>
      </c>
      <c r="V6" s="10" t="s">
        <v>1261</v>
      </c>
    </row>
    <row r="7" ht="27" spans="1:22">
      <c r="A7" s="3">
        <v>6</v>
      </c>
      <c r="B7" s="4" t="s">
        <v>1138</v>
      </c>
      <c r="C7" s="4" t="s">
        <v>257</v>
      </c>
      <c r="D7" s="4" t="s">
        <v>271</v>
      </c>
      <c r="E7" s="4" t="s">
        <v>273</v>
      </c>
      <c r="F7" s="18">
        <v>46213</v>
      </c>
      <c r="G7" s="18">
        <v>46213</v>
      </c>
      <c r="H7" s="4" t="s">
        <v>1262</v>
      </c>
      <c r="I7" s="4" t="s">
        <v>73</v>
      </c>
      <c r="J7" s="4" t="s">
        <v>1257</v>
      </c>
      <c r="K7" s="4" t="s">
        <v>1247</v>
      </c>
      <c r="L7" s="4" t="s">
        <v>516</v>
      </c>
      <c r="M7" s="4" t="s">
        <v>535</v>
      </c>
      <c r="N7" s="4" t="s">
        <v>1248</v>
      </c>
      <c r="O7" s="4" t="s">
        <v>272</v>
      </c>
      <c r="P7" s="4" t="s">
        <v>1249</v>
      </c>
      <c r="Q7" s="4"/>
      <c r="R7" s="4" t="s">
        <v>276</v>
      </c>
      <c r="S7" s="4" t="s">
        <v>126</v>
      </c>
      <c r="T7" s="4" t="s">
        <v>83</v>
      </c>
      <c r="U7" s="4" t="s">
        <v>1260</v>
      </c>
      <c r="V7" s="3" t="s">
        <v>1261</v>
      </c>
    </row>
    <row r="8" ht="27" spans="1:22">
      <c r="A8" s="10">
        <v>7</v>
      </c>
      <c r="B8" s="11" t="s">
        <v>1142</v>
      </c>
      <c r="C8" s="11" t="s">
        <v>257</v>
      </c>
      <c r="D8" s="11" t="s">
        <v>271</v>
      </c>
      <c r="E8" s="11" t="s">
        <v>280</v>
      </c>
      <c r="F8" s="17">
        <v>46219</v>
      </c>
      <c r="G8" s="17">
        <v>46219</v>
      </c>
      <c r="H8" s="11" t="s">
        <v>1263</v>
      </c>
      <c r="I8" s="11" t="s">
        <v>73</v>
      </c>
      <c r="J8" s="11" t="s">
        <v>1264</v>
      </c>
      <c r="K8" s="11" t="s">
        <v>1247</v>
      </c>
      <c r="L8" s="11" t="s">
        <v>516</v>
      </c>
      <c r="M8" s="11" t="s">
        <v>535</v>
      </c>
      <c r="N8" s="11" t="s">
        <v>1248</v>
      </c>
      <c r="O8" s="11" t="s">
        <v>272</v>
      </c>
      <c r="P8" s="11" t="s">
        <v>1249</v>
      </c>
      <c r="Q8" s="11"/>
      <c r="R8" s="11" t="s">
        <v>276</v>
      </c>
      <c r="S8" s="11" t="s">
        <v>126</v>
      </c>
      <c r="T8" s="11" t="s">
        <v>83</v>
      </c>
      <c r="U8" s="11" t="s">
        <v>1265</v>
      </c>
      <c r="V8" s="10" t="s">
        <v>1266</v>
      </c>
    </row>
    <row r="9" ht="27" spans="1:22">
      <c r="A9" s="3">
        <v>8</v>
      </c>
      <c r="B9" s="4" t="s">
        <v>1142</v>
      </c>
      <c r="C9" s="4" t="s">
        <v>257</v>
      </c>
      <c r="D9" s="4" t="s">
        <v>271</v>
      </c>
      <c r="E9" s="4" t="s">
        <v>280</v>
      </c>
      <c r="F9" s="18">
        <v>46219</v>
      </c>
      <c r="G9" s="18">
        <v>46232</v>
      </c>
      <c r="H9" s="4" t="s">
        <v>1267</v>
      </c>
      <c r="I9" s="4" t="s">
        <v>73</v>
      </c>
      <c r="J9" s="4" t="s">
        <v>1257</v>
      </c>
      <c r="K9" s="4" t="s">
        <v>1247</v>
      </c>
      <c r="L9" s="4" t="s">
        <v>516</v>
      </c>
      <c r="M9" s="4" t="s">
        <v>535</v>
      </c>
      <c r="N9" s="4" t="s">
        <v>1248</v>
      </c>
      <c r="O9" s="4" t="s">
        <v>272</v>
      </c>
      <c r="P9" s="4" t="s">
        <v>1249</v>
      </c>
      <c r="Q9" s="4"/>
      <c r="R9" s="4" t="s">
        <v>276</v>
      </c>
      <c r="S9" s="4" t="s">
        <v>126</v>
      </c>
      <c r="T9" s="4" t="s">
        <v>83</v>
      </c>
      <c r="U9" s="4" t="s">
        <v>1268</v>
      </c>
      <c r="V9" s="3" t="s">
        <v>1266</v>
      </c>
    </row>
    <row r="10" ht="27" spans="1:22">
      <c r="A10" s="10">
        <v>9</v>
      </c>
      <c r="B10" s="11" t="s">
        <v>1142</v>
      </c>
      <c r="C10" s="11" t="s">
        <v>257</v>
      </c>
      <c r="D10" s="11" t="s">
        <v>271</v>
      </c>
      <c r="E10" s="11" t="s">
        <v>280</v>
      </c>
      <c r="F10" s="17">
        <v>46219</v>
      </c>
      <c r="G10" s="17">
        <v>46219</v>
      </c>
      <c r="H10" s="11" t="s">
        <v>1262</v>
      </c>
      <c r="I10" s="11" t="s">
        <v>73</v>
      </c>
      <c r="J10" s="11" t="s">
        <v>1257</v>
      </c>
      <c r="K10" s="11" t="s">
        <v>1247</v>
      </c>
      <c r="L10" s="11" t="s">
        <v>516</v>
      </c>
      <c r="M10" s="11" t="s">
        <v>535</v>
      </c>
      <c r="N10" s="11" t="s">
        <v>1248</v>
      </c>
      <c r="O10" s="11" t="s">
        <v>272</v>
      </c>
      <c r="P10" s="11" t="s">
        <v>1249</v>
      </c>
      <c r="Q10" s="11"/>
      <c r="R10" s="11" t="s">
        <v>276</v>
      </c>
      <c r="S10" s="11" t="s">
        <v>126</v>
      </c>
      <c r="T10" s="11" t="s">
        <v>83</v>
      </c>
      <c r="U10" s="11" t="s">
        <v>1265</v>
      </c>
      <c r="V10" s="10" t="s">
        <v>1266</v>
      </c>
    </row>
    <row r="11" ht="27" spans="1:22">
      <c r="A11" s="3">
        <v>10</v>
      </c>
      <c r="B11" s="4" t="s">
        <v>1142</v>
      </c>
      <c r="C11" s="4" t="s">
        <v>257</v>
      </c>
      <c r="D11" s="4" t="s">
        <v>271</v>
      </c>
      <c r="E11" s="4" t="s">
        <v>280</v>
      </c>
      <c r="F11" s="18">
        <v>46219</v>
      </c>
      <c r="G11" s="18">
        <v>46219</v>
      </c>
      <c r="H11" s="4" t="s">
        <v>1269</v>
      </c>
      <c r="I11" s="4" t="s">
        <v>73</v>
      </c>
      <c r="J11" s="4" t="s">
        <v>1264</v>
      </c>
      <c r="K11" s="4" t="s">
        <v>1247</v>
      </c>
      <c r="L11" s="4" t="s">
        <v>516</v>
      </c>
      <c r="M11" s="4" t="s">
        <v>535</v>
      </c>
      <c r="N11" s="4" t="s">
        <v>1248</v>
      </c>
      <c r="O11" s="4" t="s">
        <v>272</v>
      </c>
      <c r="P11" s="4" t="s">
        <v>1249</v>
      </c>
      <c r="Q11" s="4"/>
      <c r="R11" s="4" t="s">
        <v>276</v>
      </c>
      <c r="S11" s="4" t="s">
        <v>126</v>
      </c>
      <c r="T11" s="4" t="s">
        <v>83</v>
      </c>
      <c r="U11" s="4" t="s">
        <v>1265</v>
      </c>
      <c r="V11" s="3" t="s">
        <v>1266</v>
      </c>
    </row>
    <row r="12" ht="27" spans="1:22">
      <c r="A12" s="10">
        <v>11</v>
      </c>
      <c r="B12" s="11" t="s">
        <v>1142</v>
      </c>
      <c r="C12" s="11" t="s">
        <v>257</v>
      </c>
      <c r="D12" s="11" t="s">
        <v>271</v>
      </c>
      <c r="E12" s="11" t="s">
        <v>280</v>
      </c>
      <c r="F12" s="17">
        <v>46219</v>
      </c>
      <c r="G12" s="17">
        <v>46219</v>
      </c>
      <c r="H12" s="11" t="s">
        <v>1258</v>
      </c>
      <c r="I12" s="11" t="s">
        <v>73</v>
      </c>
      <c r="J12" s="11" t="s">
        <v>1259</v>
      </c>
      <c r="K12" s="11" t="s">
        <v>1247</v>
      </c>
      <c r="L12" s="11" t="s">
        <v>516</v>
      </c>
      <c r="M12" s="11" t="s">
        <v>535</v>
      </c>
      <c r="N12" s="11" t="s">
        <v>1248</v>
      </c>
      <c r="O12" s="11" t="s">
        <v>272</v>
      </c>
      <c r="P12" s="11" t="s">
        <v>1249</v>
      </c>
      <c r="Q12" s="11"/>
      <c r="R12" s="11" t="s">
        <v>276</v>
      </c>
      <c r="S12" s="11" t="s">
        <v>126</v>
      </c>
      <c r="T12" s="11" t="s">
        <v>83</v>
      </c>
      <c r="U12" s="11" t="s">
        <v>1265</v>
      </c>
      <c r="V12" s="10" t="s">
        <v>1266</v>
      </c>
    </row>
    <row r="13" ht="27" spans="1:22">
      <c r="A13" s="3">
        <v>12</v>
      </c>
      <c r="B13" s="4" t="s">
        <v>1142</v>
      </c>
      <c r="C13" s="4" t="s">
        <v>257</v>
      </c>
      <c r="D13" s="4" t="s">
        <v>271</v>
      </c>
      <c r="E13" s="4" t="s">
        <v>280</v>
      </c>
      <c r="F13" s="18">
        <v>46219</v>
      </c>
      <c r="G13" s="18"/>
      <c r="H13" s="4" t="s">
        <v>1270</v>
      </c>
      <c r="I13" s="4"/>
      <c r="J13" s="4" t="s">
        <v>1259</v>
      </c>
      <c r="K13" s="4" t="s">
        <v>1247</v>
      </c>
      <c r="L13" s="4" t="s">
        <v>516</v>
      </c>
      <c r="M13" s="4" t="s">
        <v>535</v>
      </c>
      <c r="N13" s="4" t="s">
        <v>1248</v>
      </c>
      <c r="O13" s="4" t="s">
        <v>272</v>
      </c>
      <c r="P13" s="4" t="s">
        <v>1249</v>
      </c>
      <c r="Q13" s="4"/>
      <c r="R13" s="4" t="s">
        <v>276</v>
      </c>
      <c r="S13" s="4" t="s">
        <v>126</v>
      </c>
      <c r="T13" s="4" t="s">
        <v>83</v>
      </c>
      <c r="U13" s="4" t="s">
        <v>1271</v>
      </c>
      <c r="V13" s="3" t="s">
        <v>1272</v>
      </c>
    </row>
    <row r="14" ht="27" spans="1:22">
      <c r="A14" s="10">
        <v>13</v>
      </c>
      <c r="B14" s="11" t="s">
        <v>1142</v>
      </c>
      <c r="C14" s="11" t="s">
        <v>257</v>
      </c>
      <c r="D14" s="11" t="s">
        <v>271</v>
      </c>
      <c r="E14" s="11" t="s">
        <v>280</v>
      </c>
      <c r="F14" s="17">
        <v>46219</v>
      </c>
      <c r="G14" s="17"/>
      <c r="H14" s="11" t="s">
        <v>1273</v>
      </c>
      <c r="I14" s="11"/>
      <c r="J14" s="11" t="s">
        <v>1259</v>
      </c>
      <c r="K14" s="11" t="s">
        <v>1247</v>
      </c>
      <c r="L14" s="11" t="s">
        <v>516</v>
      </c>
      <c r="M14" s="11" t="s">
        <v>535</v>
      </c>
      <c r="N14" s="11" t="s">
        <v>1248</v>
      </c>
      <c r="O14" s="11" t="s">
        <v>272</v>
      </c>
      <c r="P14" s="11" t="s">
        <v>1249</v>
      </c>
      <c r="Q14" s="11"/>
      <c r="R14" s="11" t="s">
        <v>276</v>
      </c>
      <c r="S14" s="11" t="s">
        <v>126</v>
      </c>
      <c r="T14" s="11" t="s">
        <v>83</v>
      </c>
      <c r="U14" s="11" t="s">
        <v>1271</v>
      </c>
      <c r="V14" s="10" t="s">
        <v>1272</v>
      </c>
    </row>
    <row r="15" ht="27" spans="1:22">
      <c r="A15" s="3">
        <v>14</v>
      </c>
      <c r="B15" s="4" t="s">
        <v>1146</v>
      </c>
      <c r="C15" s="4" t="s">
        <v>257</v>
      </c>
      <c r="D15" s="4" t="s">
        <v>271</v>
      </c>
      <c r="E15" s="4" t="s">
        <v>284</v>
      </c>
      <c r="F15" s="18">
        <v>46205</v>
      </c>
      <c r="G15" s="18">
        <v>46205</v>
      </c>
      <c r="H15" s="4" t="s">
        <v>1274</v>
      </c>
      <c r="I15" s="4" t="s">
        <v>73</v>
      </c>
      <c r="J15" s="4" t="s">
        <v>1275</v>
      </c>
      <c r="K15" s="4" t="s">
        <v>1247</v>
      </c>
      <c r="L15" s="4" t="s">
        <v>516</v>
      </c>
      <c r="M15" s="4" t="s">
        <v>535</v>
      </c>
      <c r="N15" s="4" t="s">
        <v>1248</v>
      </c>
      <c r="O15" s="4" t="s">
        <v>272</v>
      </c>
      <c r="P15" s="4" t="s">
        <v>1249</v>
      </c>
      <c r="Q15" s="4"/>
      <c r="R15" s="4" t="s">
        <v>276</v>
      </c>
      <c r="S15" s="4" t="s">
        <v>126</v>
      </c>
      <c r="T15" s="4" t="s">
        <v>83</v>
      </c>
      <c r="U15" s="4" t="s">
        <v>1276</v>
      </c>
      <c r="V15" s="3" t="s">
        <v>1277</v>
      </c>
    </row>
    <row r="16" ht="27" spans="1:22">
      <c r="A16" s="10">
        <v>15</v>
      </c>
      <c r="B16" s="11" t="s">
        <v>1146</v>
      </c>
      <c r="C16" s="11" t="s">
        <v>257</v>
      </c>
      <c r="D16" s="11" t="s">
        <v>271</v>
      </c>
      <c r="E16" s="11" t="s">
        <v>284</v>
      </c>
      <c r="F16" s="17">
        <v>46205</v>
      </c>
      <c r="G16" s="17">
        <v>46205</v>
      </c>
      <c r="H16" s="11" t="s">
        <v>1263</v>
      </c>
      <c r="I16" s="11" t="s">
        <v>73</v>
      </c>
      <c r="J16" s="11" t="s">
        <v>1257</v>
      </c>
      <c r="K16" s="11" t="s">
        <v>1247</v>
      </c>
      <c r="L16" s="11" t="s">
        <v>516</v>
      </c>
      <c r="M16" s="11" t="s">
        <v>535</v>
      </c>
      <c r="N16" s="11" t="s">
        <v>1248</v>
      </c>
      <c r="O16" s="11" t="s">
        <v>272</v>
      </c>
      <c r="P16" s="11" t="s">
        <v>1249</v>
      </c>
      <c r="Q16" s="11"/>
      <c r="R16" s="11" t="s">
        <v>276</v>
      </c>
      <c r="S16" s="11" t="s">
        <v>126</v>
      </c>
      <c r="T16" s="11" t="s">
        <v>83</v>
      </c>
      <c r="U16" s="11" t="s">
        <v>1276</v>
      </c>
      <c r="V16" s="10" t="s">
        <v>1277</v>
      </c>
    </row>
    <row r="17" ht="27" spans="1:22">
      <c r="A17" s="3">
        <v>16</v>
      </c>
      <c r="B17" s="4" t="s">
        <v>1146</v>
      </c>
      <c r="C17" s="4" t="s">
        <v>257</v>
      </c>
      <c r="D17" s="4" t="s">
        <v>271</v>
      </c>
      <c r="E17" s="4" t="s">
        <v>284</v>
      </c>
      <c r="F17" s="18">
        <v>46205</v>
      </c>
      <c r="G17" s="18">
        <v>46205</v>
      </c>
      <c r="H17" s="4" t="s">
        <v>1278</v>
      </c>
      <c r="I17" s="4" t="s">
        <v>73</v>
      </c>
      <c r="J17" s="4" t="s">
        <v>1279</v>
      </c>
      <c r="K17" s="4" t="s">
        <v>1247</v>
      </c>
      <c r="L17" s="4" t="s">
        <v>516</v>
      </c>
      <c r="M17" s="4" t="s">
        <v>535</v>
      </c>
      <c r="N17" s="4" t="s">
        <v>1248</v>
      </c>
      <c r="O17" s="4" t="s">
        <v>272</v>
      </c>
      <c r="P17" s="4" t="s">
        <v>1249</v>
      </c>
      <c r="Q17" s="4"/>
      <c r="R17" s="4" t="s">
        <v>276</v>
      </c>
      <c r="S17" s="4" t="s">
        <v>126</v>
      </c>
      <c r="T17" s="4" t="s">
        <v>83</v>
      </c>
      <c r="U17" s="4" t="s">
        <v>1276</v>
      </c>
      <c r="V17" s="3" t="s">
        <v>1277</v>
      </c>
    </row>
    <row r="18" ht="27" spans="1:22">
      <c r="A18" s="10">
        <v>17</v>
      </c>
      <c r="B18" s="11" t="s">
        <v>1146</v>
      </c>
      <c r="C18" s="11" t="s">
        <v>257</v>
      </c>
      <c r="D18" s="11" t="s">
        <v>271</v>
      </c>
      <c r="E18" s="11" t="s">
        <v>284</v>
      </c>
      <c r="F18" s="17">
        <v>46205</v>
      </c>
      <c r="G18" s="17">
        <v>46205</v>
      </c>
      <c r="H18" s="11" t="s">
        <v>1280</v>
      </c>
      <c r="I18" s="11" t="s">
        <v>73</v>
      </c>
      <c r="J18" s="11" t="s">
        <v>1281</v>
      </c>
      <c r="K18" s="11" t="s">
        <v>1247</v>
      </c>
      <c r="L18" s="11" t="s">
        <v>516</v>
      </c>
      <c r="M18" s="11" t="s">
        <v>535</v>
      </c>
      <c r="N18" s="11" t="s">
        <v>1248</v>
      </c>
      <c r="O18" s="11" t="s">
        <v>272</v>
      </c>
      <c r="P18" s="11" t="s">
        <v>1249</v>
      </c>
      <c r="Q18" s="11"/>
      <c r="R18" s="11" t="s">
        <v>276</v>
      </c>
      <c r="S18" s="11" t="s">
        <v>126</v>
      </c>
      <c r="T18" s="11" t="s">
        <v>83</v>
      </c>
      <c r="U18" s="11" t="s">
        <v>1276</v>
      </c>
      <c r="V18" s="10" t="s">
        <v>1277</v>
      </c>
    </row>
    <row r="19" ht="27" spans="1:22">
      <c r="A19" s="3">
        <v>18</v>
      </c>
      <c r="B19" s="4" t="s">
        <v>1146</v>
      </c>
      <c r="C19" s="4" t="s">
        <v>257</v>
      </c>
      <c r="D19" s="4" t="s">
        <v>271</v>
      </c>
      <c r="E19" s="4" t="s">
        <v>284</v>
      </c>
      <c r="F19" s="18">
        <v>46205</v>
      </c>
      <c r="G19" s="18">
        <v>46206</v>
      </c>
      <c r="H19" s="4" t="s">
        <v>1258</v>
      </c>
      <c r="I19" s="4" t="s">
        <v>73</v>
      </c>
      <c r="J19" s="4" t="s">
        <v>1259</v>
      </c>
      <c r="K19" s="4" t="s">
        <v>1247</v>
      </c>
      <c r="L19" s="4" t="s">
        <v>516</v>
      </c>
      <c r="M19" s="4" t="s">
        <v>535</v>
      </c>
      <c r="N19" s="4" t="s">
        <v>1248</v>
      </c>
      <c r="O19" s="4" t="s">
        <v>272</v>
      </c>
      <c r="P19" s="4" t="s">
        <v>1249</v>
      </c>
      <c r="Q19" s="4"/>
      <c r="R19" s="4" t="s">
        <v>276</v>
      </c>
      <c r="S19" s="4" t="s">
        <v>126</v>
      </c>
      <c r="T19" s="4" t="s">
        <v>83</v>
      </c>
      <c r="U19" s="4" t="s">
        <v>1276</v>
      </c>
      <c r="V19" s="3" t="s">
        <v>1277</v>
      </c>
    </row>
    <row r="20" ht="27" spans="1:22">
      <c r="A20" s="10">
        <v>19</v>
      </c>
      <c r="B20" s="11" t="s">
        <v>1146</v>
      </c>
      <c r="C20" s="11" t="s">
        <v>257</v>
      </c>
      <c r="D20" s="11" t="s">
        <v>271</v>
      </c>
      <c r="E20" s="11" t="s">
        <v>284</v>
      </c>
      <c r="F20" s="17">
        <v>46205</v>
      </c>
      <c r="G20" s="17">
        <v>46205</v>
      </c>
      <c r="H20" s="11" t="s">
        <v>1262</v>
      </c>
      <c r="I20" s="11" t="s">
        <v>73</v>
      </c>
      <c r="J20" s="11" t="s">
        <v>1257</v>
      </c>
      <c r="K20" s="11" t="s">
        <v>1247</v>
      </c>
      <c r="L20" s="11" t="s">
        <v>516</v>
      </c>
      <c r="M20" s="11" t="s">
        <v>535</v>
      </c>
      <c r="N20" s="11" t="s">
        <v>1248</v>
      </c>
      <c r="O20" s="11" t="s">
        <v>272</v>
      </c>
      <c r="P20" s="11" t="s">
        <v>1249</v>
      </c>
      <c r="Q20" s="11"/>
      <c r="R20" s="11" t="s">
        <v>276</v>
      </c>
      <c r="S20" s="11" t="s">
        <v>126</v>
      </c>
      <c r="T20" s="11" t="s">
        <v>83</v>
      </c>
      <c r="U20" s="11" t="s">
        <v>1276</v>
      </c>
      <c r="V20" s="10" t="s">
        <v>1277</v>
      </c>
    </row>
    <row r="21" ht="27" spans="1:22">
      <c r="A21" s="3">
        <v>20</v>
      </c>
      <c r="B21" s="4" t="s">
        <v>1150</v>
      </c>
      <c r="C21" s="4" t="s">
        <v>290</v>
      </c>
      <c r="D21" s="4" t="s">
        <v>292</v>
      </c>
      <c r="E21" s="4" t="s">
        <v>293</v>
      </c>
      <c r="F21" s="18">
        <v>46224.8291666667</v>
      </c>
      <c r="G21" s="18">
        <v>46224</v>
      </c>
      <c r="H21" s="4" t="s">
        <v>1282</v>
      </c>
      <c r="I21" s="4" t="s">
        <v>73</v>
      </c>
      <c r="J21" s="4" t="s">
        <v>1283</v>
      </c>
      <c r="K21" s="4" t="s">
        <v>1284</v>
      </c>
      <c r="L21" s="4" t="s">
        <v>516</v>
      </c>
      <c r="M21" s="4" t="s">
        <v>535</v>
      </c>
      <c r="N21" s="4" t="s">
        <v>1248</v>
      </c>
      <c r="O21" s="4" t="s">
        <v>220</v>
      </c>
      <c r="P21" s="4" t="s">
        <v>75</v>
      </c>
      <c r="Q21" s="4"/>
      <c r="R21" s="4" t="s">
        <v>276</v>
      </c>
      <c r="S21" s="4" t="s">
        <v>126</v>
      </c>
      <c r="T21" s="4" t="s">
        <v>83</v>
      </c>
      <c r="U21" s="4" t="s">
        <v>1276</v>
      </c>
      <c r="V21" s="3" t="s">
        <v>1285</v>
      </c>
    </row>
    <row r="22" ht="27" spans="1:22">
      <c r="A22" s="10">
        <v>21</v>
      </c>
      <c r="B22" s="11" t="s">
        <v>1150</v>
      </c>
      <c r="C22" s="11" t="s">
        <v>290</v>
      </c>
      <c r="D22" s="11" t="s">
        <v>292</v>
      </c>
      <c r="E22" s="11" t="s">
        <v>293</v>
      </c>
      <c r="F22" s="17">
        <v>46224.8291666667</v>
      </c>
      <c r="G22" s="17">
        <v>46226</v>
      </c>
      <c r="H22" s="11" t="s">
        <v>1286</v>
      </c>
      <c r="I22" s="11" t="s">
        <v>73</v>
      </c>
      <c r="J22" s="11" t="s">
        <v>1257</v>
      </c>
      <c r="K22" s="11" t="s">
        <v>1247</v>
      </c>
      <c r="L22" s="11" t="s">
        <v>516</v>
      </c>
      <c r="M22" s="11" t="s">
        <v>535</v>
      </c>
      <c r="N22" s="11" t="s">
        <v>1248</v>
      </c>
      <c r="O22" s="11" t="s">
        <v>220</v>
      </c>
      <c r="P22" s="11" t="s">
        <v>1249</v>
      </c>
      <c r="Q22" s="11"/>
      <c r="R22" s="11" t="s">
        <v>276</v>
      </c>
      <c r="S22" s="11" t="s">
        <v>126</v>
      </c>
      <c r="T22" s="11" t="s">
        <v>83</v>
      </c>
      <c r="U22" s="11" t="s">
        <v>1276</v>
      </c>
      <c r="V22" s="10" t="s">
        <v>1285</v>
      </c>
    </row>
    <row r="23" ht="27" spans="1:22">
      <c r="A23" s="3">
        <v>22</v>
      </c>
      <c r="B23" s="4" t="s">
        <v>1154</v>
      </c>
      <c r="C23" s="4" t="s">
        <v>257</v>
      </c>
      <c r="D23" s="4" t="s">
        <v>299</v>
      </c>
      <c r="E23" s="4" t="s">
        <v>300</v>
      </c>
      <c r="F23" s="18">
        <v>46233</v>
      </c>
      <c r="G23" s="18">
        <v>46233</v>
      </c>
      <c r="H23" s="4" t="s">
        <v>1287</v>
      </c>
      <c r="I23" s="4" t="s">
        <v>73</v>
      </c>
      <c r="J23" s="4" t="s">
        <v>1288</v>
      </c>
      <c r="K23" s="4" t="s">
        <v>1289</v>
      </c>
      <c r="L23" s="4" t="s">
        <v>516</v>
      </c>
      <c r="M23" s="4" t="s">
        <v>533</v>
      </c>
      <c r="N23" s="4" t="s">
        <v>1248</v>
      </c>
      <c r="O23" s="4" t="s">
        <v>220</v>
      </c>
      <c r="P23" s="4" t="s">
        <v>75</v>
      </c>
      <c r="Q23" s="4"/>
      <c r="R23" s="4" t="s">
        <v>276</v>
      </c>
      <c r="S23" s="4" t="s">
        <v>126</v>
      </c>
      <c r="T23" s="4" t="s">
        <v>83</v>
      </c>
      <c r="U23" s="4" t="s">
        <v>1290</v>
      </c>
      <c r="V23" s="3" t="s">
        <v>1291</v>
      </c>
    </row>
    <row r="24" ht="27" spans="1:22">
      <c r="A24" s="10">
        <v>23</v>
      </c>
      <c r="B24" s="11" t="s">
        <v>1158</v>
      </c>
      <c r="C24" s="11" t="s">
        <v>257</v>
      </c>
      <c r="D24" s="11" t="s">
        <v>305</v>
      </c>
      <c r="E24" s="11" t="s">
        <v>306</v>
      </c>
      <c r="F24" s="17">
        <v>46216</v>
      </c>
      <c r="G24" s="17">
        <v>46216</v>
      </c>
      <c r="H24" s="11" t="s">
        <v>1282</v>
      </c>
      <c r="I24" s="11" t="s">
        <v>73</v>
      </c>
      <c r="J24" s="11" t="s">
        <v>1283</v>
      </c>
      <c r="K24" s="11" t="s">
        <v>1284</v>
      </c>
      <c r="L24" s="11" t="s">
        <v>516</v>
      </c>
      <c r="M24" s="11" t="s">
        <v>535</v>
      </c>
      <c r="N24" s="11" t="s">
        <v>1248</v>
      </c>
      <c r="O24" s="11" t="s">
        <v>220</v>
      </c>
      <c r="P24" s="11" t="s">
        <v>75</v>
      </c>
      <c r="Q24" s="11"/>
      <c r="R24" s="11" t="s">
        <v>276</v>
      </c>
      <c r="S24" s="11" t="s">
        <v>126</v>
      </c>
      <c r="T24" s="11" t="s">
        <v>83</v>
      </c>
      <c r="U24" s="11" t="s">
        <v>1292</v>
      </c>
      <c r="V24" s="10" t="s">
        <v>1293</v>
      </c>
    </row>
    <row r="25" ht="27" spans="1:22">
      <c r="A25" s="3">
        <v>24</v>
      </c>
      <c r="B25" s="4" t="s">
        <v>1162</v>
      </c>
      <c r="C25" s="4" t="s">
        <v>257</v>
      </c>
      <c r="D25" s="4" t="s">
        <v>305</v>
      </c>
      <c r="E25" s="4" t="s">
        <v>311</v>
      </c>
      <c r="F25" s="18">
        <v>46232</v>
      </c>
      <c r="G25" s="18">
        <v>46233</v>
      </c>
      <c r="H25" s="4" t="s">
        <v>1294</v>
      </c>
      <c r="I25" s="4" t="s">
        <v>1295</v>
      </c>
      <c r="J25" s="4" t="s">
        <v>1296</v>
      </c>
      <c r="K25" s="4" t="s">
        <v>1289</v>
      </c>
      <c r="L25" s="4" t="s">
        <v>516</v>
      </c>
      <c r="M25" s="4" t="s">
        <v>533</v>
      </c>
      <c r="N25" s="4" t="s">
        <v>1248</v>
      </c>
      <c r="O25" s="4" t="s">
        <v>220</v>
      </c>
      <c r="P25" s="4" t="s">
        <v>75</v>
      </c>
      <c r="Q25" s="4"/>
      <c r="R25" s="4" t="s">
        <v>276</v>
      </c>
      <c r="S25" s="4" t="s">
        <v>126</v>
      </c>
      <c r="T25" s="4" t="s">
        <v>83</v>
      </c>
      <c r="U25" s="4" t="s">
        <v>1297</v>
      </c>
      <c r="V25" s="3" t="s">
        <v>1298</v>
      </c>
    </row>
    <row r="26" ht="27" spans="1:22">
      <c r="A26" s="10">
        <v>25</v>
      </c>
      <c r="B26" s="11" t="s">
        <v>1162</v>
      </c>
      <c r="C26" s="11" t="s">
        <v>257</v>
      </c>
      <c r="D26" s="11" t="s">
        <v>305</v>
      </c>
      <c r="E26" s="11" t="s">
        <v>311</v>
      </c>
      <c r="F26" s="17">
        <v>46232</v>
      </c>
      <c r="G26" s="17">
        <v>46232</v>
      </c>
      <c r="H26" s="11" t="s">
        <v>1282</v>
      </c>
      <c r="I26" s="11" t="s">
        <v>73</v>
      </c>
      <c r="J26" s="11" t="s">
        <v>1283</v>
      </c>
      <c r="K26" s="11" t="s">
        <v>1284</v>
      </c>
      <c r="L26" s="11" t="s">
        <v>516</v>
      </c>
      <c r="M26" s="11" t="s">
        <v>535</v>
      </c>
      <c r="N26" s="11" t="s">
        <v>1248</v>
      </c>
      <c r="O26" s="11" t="s">
        <v>220</v>
      </c>
      <c r="P26" s="11" t="s">
        <v>75</v>
      </c>
      <c r="Q26" s="11"/>
      <c r="R26" s="11" t="s">
        <v>276</v>
      </c>
      <c r="S26" s="11" t="s">
        <v>126</v>
      </c>
      <c r="T26" s="11" t="s">
        <v>83</v>
      </c>
      <c r="U26" s="11" t="s">
        <v>1268</v>
      </c>
      <c r="V26" s="10" t="s">
        <v>1298</v>
      </c>
    </row>
    <row r="27" ht="27" spans="1:22">
      <c r="A27" s="3">
        <v>26</v>
      </c>
      <c r="B27" s="4" t="s">
        <v>1166</v>
      </c>
      <c r="C27" s="4" t="s">
        <v>257</v>
      </c>
      <c r="D27" s="4" t="s">
        <v>305</v>
      </c>
      <c r="E27" s="4" t="s">
        <v>314</v>
      </c>
      <c r="F27" s="18">
        <v>46225</v>
      </c>
      <c r="G27" s="18">
        <v>46225</v>
      </c>
      <c r="H27" s="4" t="s">
        <v>1282</v>
      </c>
      <c r="I27" s="4" t="s">
        <v>73</v>
      </c>
      <c r="J27" s="4" t="s">
        <v>1283</v>
      </c>
      <c r="K27" s="4" t="s">
        <v>1284</v>
      </c>
      <c r="L27" s="4" t="s">
        <v>516</v>
      </c>
      <c r="M27" s="4" t="s">
        <v>535</v>
      </c>
      <c r="N27" s="4" t="s">
        <v>1248</v>
      </c>
      <c r="O27" s="4" t="s">
        <v>220</v>
      </c>
      <c r="P27" s="4" t="s">
        <v>75</v>
      </c>
      <c r="Q27" s="4"/>
      <c r="R27" s="4" t="s">
        <v>276</v>
      </c>
      <c r="S27" s="4" t="s">
        <v>126</v>
      </c>
      <c r="T27" s="4" t="s">
        <v>83</v>
      </c>
      <c r="U27" s="4" t="s">
        <v>1299</v>
      </c>
      <c r="V27" s="3" t="s">
        <v>1300</v>
      </c>
    </row>
    <row r="28" ht="27" spans="1:22">
      <c r="A28" s="10">
        <v>27</v>
      </c>
      <c r="B28" s="11" t="s">
        <v>1169</v>
      </c>
      <c r="C28" s="11" t="s">
        <v>257</v>
      </c>
      <c r="D28" s="11" t="s">
        <v>299</v>
      </c>
      <c r="E28" s="11" t="s">
        <v>316</v>
      </c>
      <c r="F28" s="17">
        <v>46213</v>
      </c>
      <c r="G28" s="17">
        <v>46215</v>
      </c>
      <c r="H28" s="11" t="s">
        <v>1301</v>
      </c>
      <c r="I28" s="11" t="s">
        <v>73</v>
      </c>
      <c r="J28" s="11" t="s">
        <v>1302</v>
      </c>
      <c r="K28" s="11" t="s">
        <v>1303</v>
      </c>
      <c r="L28" s="11" t="s">
        <v>516</v>
      </c>
      <c r="M28" s="11" t="s">
        <v>535</v>
      </c>
      <c r="N28" s="11" t="s">
        <v>1248</v>
      </c>
      <c r="O28" s="11" t="s">
        <v>220</v>
      </c>
      <c r="P28" s="11" t="s">
        <v>75</v>
      </c>
      <c r="Q28" s="11"/>
      <c r="R28" s="11" t="s">
        <v>276</v>
      </c>
      <c r="S28" s="11" t="s">
        <v>126</v>
      </c>
      <c r="T28" s="11" t="s">
        <v>83</v>
      </c>
      <c r="U28" s="11" t="s">
        <v>1304</v>
      </c>
      <c r="V28" s="10" t="s">
        <v>1305</v>
      </c>
    </row>
    <row r="29" ht="27" spans="1:22">
      <c r="A29" s="3">
        <v>28</v>
      </c>
      <c r="B29" s="4" t="s">
        <v>1172</v>
      </c>
      <c r="C29" s="4" t="s">
        <v>257</v>
      </c>
      <c r="D29" s="4" t="s">
        <v>320</v>
      </c>
      <c r="E29" s="4" t="s">
        <v>322</v>
      </c>
      <c r="F29" s="18">
        <v>46238</v>
      </c>
      <c r="G29" s="18">
        <v>46238</v>
      </c>
      <c r="H29" s="4" t="s">
        <v>1306</v>
      </c>
      <c r="I29" s="4" t="s">
        <v>153</v>
      </c>
      <c r="J29" s="4" t="s">
        <v>1257</v>
      </c>
      <c r="K29" s="4" t="s">
        <v>1247</v>
      </c>
      <c r="L29" s="4" t="s">
        <v>516</v>
      </c>
      <c r="M29" s="4" t="s">
        <v>535</v>
      </c>
      <c r="N29" s="4" t="s">
        <v>1248</v>
      </c>
      <c r="O29" s="4" t="s">
        <v>164</v>
      </c>
      <c r="P29" s="4" t="s">
        <v>1249</v>
      </c>
      <c r="Q29" s="4"/>
      <c r="R29" s="4" t="s">
        <v>325</v>
      </c>
      <c r="S29" s="4" t="s">
        <v>126</v>
      </c>
      <c r="T29" s="4" t="s">
        <v>83</v>
      </c>
      <c r="U29" s="4" t="s">
        <v>1307</v>
      </c>
      <c r="V29" s="3" t="s">
        <v>1308</v>
      </c>
    </row>
    <row r="30" ht="27" spans="1:22">
      <c r="A30" s="10">
        <v>29</v>
      </c>
      <c r="B30" s="11" t="s">
        <v>1172</v>
      </c>
      <c r="C30" s="11" t="s">
        <v>257</v>
      </c>
      <c r="D30" s="11" t="s">
        <v>320</v>
      </c>
      <c r="E30" s="11" t="s">
        <v>322</v>
      </c>
      <c r="F30" s="17">
        <v>46238</v>
      </c>
      <c r="G30" s="17">
        <v>46238</v>
      </c>
      <c r="H30" s="11" t="s">
        <v>1309</v>
      </c>
      <c r="I30" s="11" t="s">
        <v>153</v>
      </c>
      <c r="J30" s="11" t="s">
        <v>1257</v>
      </c>
      <c r="K30" s="11" t="s">
        <v>1247</v>
      </c>
      <c r="L30" s="11" t="s">
        <v>516</v>
      </c>
      <c r="M30" s="11" t="s">
        <v>535</v>
      </c>
      <c r="N30" s="11" t="s">
        <v>1248</v>
      </c>
      <c r="O30" s="11" t="s">
        <v>164</v>
      </c>
      <c r="P30" s="11" t="s">
        <v>1249</v>
      </c>
      <c r="Q30" s="11"/>
      <c r="R30" s="11" t="s">
        <v>325</v>
      </c>
      <c r="S30" s="11" t="s">
        <v>126</v>
      </c>
      <c r="T30" s="11" t="s">
        <v>83</v>
      </c>
      <c r="U30" s="11" t="s">
        <v>1310</v>
      </c>
      <c r="V30" s="10" t="s">
        <v>1308</v>
      </c>
    </row>
    <row r="31" ht="27" spans="1:22">
      <c r="A31" s="3">
        <v>30</v>
      </c>
      <c r="B31" s="4" t="s">
        <v>1172</v>
      </c>
      <c r="C31" s="4" t="s">
        <v>257</v>
      </c>
      <c r="D31" s="4" t="s">
        <v>320</v>
      </c>
      <c r="E31" s="4" t="s">
        <v>322</v>
      </c>
      <c r="F31" s="18">
        <v>46238</v>
      </c>
      <c r="G31" s="18">
        <v>46238</v>
      </c>
      <c r="H31" s="4" t="s">
        <v>1311</v>
      </c>
      <c r="I31" s="4" t="s">
        <v>153</v>
      </c>
      <c r="J31" s="4" t="s">
        <v>1259</v>
      </c>
      <c r="K31" s="4" t="s">
        <v>1247</v>
      </c>
      <c r="L31" s="4" t="s">
        <v>516</v>
      </c>
      <c r="M31" s="4" t="s">
        <v>535</v>
      </c>
      <c r="N31" s="4" t="s">
        <v>1248</v>
      </c>
      <c r="O31" s="4" t="s">
        <v>164</v>
      </c>
      <c r="P31" s="4" t="s">
        <v>1249</v>
      </c>
      <c r="Q31" s="4"/>
      <c r="R31" s="4" t="s">
        <v>325</v>
      </c>
      <c r="S31" s="4" t="s">
        <v>126</v>
      </c>
      <c r="T31" s="4" t="s">
        <v>83</v>
      </c>
      <c r="U31" s="4" t="s">
        <v>1307</v>
      </c>
      <c r="V31" s="3" t="s">
        <v>1308</v>
      </c>
    </row>
    <row r="32" ht="27" spans="1:22">
      <c r="A32" s="10">
        <v>31</v>
      </c>
      <c r="B32" s="11" t="s">
        <v>1176</v>
      </c>
      <c r="C32" s="11" t="s">
        <v>257</v>
      </c>
      <c r="D32" s="11" t="s">
        <v>329</v>
      </c>
      <c r="E32" s="11" t="s">
        <v>331</v>
      </c>
      <c r="F32" s="17">
        <v>46204</v>
      </c>
      <c r="G32" s="17">
        <v>46204</v>
      </c>
      <c r="H32" s="11" t="s">
        <v>1312</v>
      </c>
      <c r="I32" s="11" t="s">
        <v>73</v>
      </c>
      <c r="J32" s="11" t="s">
        <v>1257</v>
      </c>
      <c r="K32" s="11" t="s">
        <v>1247</v>
      </c>
      <c r="L32" s="11" t="s">
        <v>516</v>
      </c>
      <c r="M32" s="11" t="s">
        <v>535</v>
      </c>
      <c r="N32" s="11" t="s">
        <v>1248</v>
      </c>
      <c r="O32" s="11" t="s">
        <v>330</v>
      </c>
      <c r="P32" s="11" t="s">
        <v>1249</v>
      </c>
      <c r="Q32" s="11"/>
      <c r="R32" s="11" t="s">
        <v>276</v>
      </c>
      <c r="S32" s="11" t="s">
        <v>126</v>
      </c>
      <c r="T32" s="11" t="s">
        <v>83</v>
      </c>
      <c r="U32" s="11" t="s">
        <v>1276</v>
      </c>
      <c r="V32" s="10" t="s">
        <v>1313</v>
      </c>
    </row>
    <row r="33" ht="27" spans="1:22">
      <c r="A33" s="3">
        <v>32</v>
      </c>
      <c r="B33" s="4" t="s">
        <v>1176</v>
      </c>
      <c r="C33" s="4" t="s">
        <v>257</v>
      </c>
      <c r="D33" s="4" t="s">
        <v>329</v>
      </c>
      <c r="E33" s="4" t="s">
        <v>331</v>
      </c>
      <c r="F33" s="18">
        <v>46204</v>
      </c>
      <c r="G33" s="18">
        <v>46204</v>
      </c>
      <c r="H33" s="4" t="s">
        <v>1314</v>
      </c>
      <c r="I33" s="4" t="s">
        <v>73</v>
      </c>
      <c r="J33" s="4" t="s">
        <v>1257</v>
      </c>
      <c r="K33" s="4" t="s">
        <v>1247</v>
      </c>
      <c r="L33" s="4" t="s">
        <v>516</v>
      </c>
      <c r="M33" s="4" t="s">
        <v>535</v>
      </c>
      <c r="N33" s="4" t="s">
        <v>1248</v>
      </c>
      <c r="O33" s="4" t="s">
        <v>330</v>
      </c>
      <c r="P33" s="4" t="s">
        <v>1249</v>
      </c>
      <c r="Q33" s="4"/>
      <c r="R33" s="4" t="s">
        <v>276</v>
      </c>
      <c r="S33" s="4" t="s">
        <v>126</v>
      </c>
      <c r="T33" s="4" t="s">
        <v>83</v>
      </c>
      <c r="U33" s="4" t="s">
        <v>1276</v>
      </c>
      <c r="V33" s="3" t="s">
        <v>1313</v>
      </c>
    </row>
    <row r="34" ht="27" spans="1:22">
      <c r="A34" s="10">
        <v>33</v>
      </c>
      <c r="B34" s="11" t="s">
        <v>1176</v>
      </c>
      <c r="C34" s="11" t="s">
        <v>257</v>
      </c>
      <c r="D34" s="11" t="s">
        <v>329</v>
      </c>
      <c r="E34" s="11" t="s">
        <v>331</v>
      </c>
      <c r="F34" s="17">
        <v>46204</v>
      </c>
      <c r="G34" s="17">
        <v>46204</v>
      </c>
      <c r="H34" s="11" t="s">
        <v>1315</v>
      </c>
      <c r="I34" s="11" t="s">
        <v>73</v>
      </c>
      <c r="J34" s="11" t="s">
        <v>1264</v>
      </c>
      <c r="K34" s="11" t="s">
        <v>1247</v>
      </c>
      <c r="L34" s="11" t="s">
        <v>516</v>
      </c>
      <c r="M34" s="11" t="s">
        <v>535</v>
      </c>
      <c r="N34" s="11" t="s">
        <v>1248</v>
      </c>
      <c r="O34" s="11" t="s">
        <v>330</v>
      </c>
      <c r="P34" s="11" t="s">
        <v>1249</v>
      </c>
      <c r="Q34" s="11"/>
      <c r="R34" s="11" t="s">
        <v>276</v>
      </c>
      <c r="S34" s="11" t="s">
        <v>126</v>
      </c>
      <c r="T34" s="11" t="s">
        <v>83</v>
      </c>
      <c r="U34" s="11" t="s">
        <v>1276</v>
      </c>
      <c r="V34" s="10" t="s">
        <v>1313</v>
      </c>
    </row>
    <row r="35" ht="27" spans="1:22">
      <c r="A35" s="3">
        <v>34</v>
      </c>
      <c r="B35" s="4" t="s">
        <v>1176</v>
      </c>
      <c r="C35" s="4" t="s">
        <v>257</v>
      </c>
      <c r="D35" s="4" t="s">
        <v>329</v>
      </c>
      <c r="E35" s="4" t="s">
        <v>331</v>
      </c>
      <c r="F35" s="18">
        <v>46204</v>
      </c>
      <c r="G35" s="18">
        <v>46204</v>
      </c>
      <c r="H35" s="4" t="s">
        <v>1315</v>
      </c>
      <c r="I35" s="4" t="s">
        <v>73</v>
      </c>
      <c r="J35" s="4" t="s">
        <v>1257</v>
      </c>
      <c r="K35" s="4" t="s">
        <v>1247</v>
      </c>
      <c r="L35" s="4" t="s">
        <v>516</v>
      </c>
      <c r="M35" s="4" t="s">
        <v>535</v>
      </c>
      <c r="N35" s="4" t="s">
        <v>1248</v>
      </c>
      <c r="O35" s="4" t="s">
        <v>330</v>
      </c>
      <c r="P35" s="4" t="s">
        <v>1249</v>
      </c>
      <c r="Q35" s="4"/>
      <c r="R35" s="4" t="s">
        <v>276</v>
      </c>
      <c r="S35" s="4" t="s">
        <v>126</v>
      </c>
      <c r="T35" s="4" t="s">
        <v>83</v>
      </c>
      <c r="U35" s="4" t="s">
        <v>1276</v>
      </c>
      <c r="V35" s="3" t="s">
        <v>1313</v>
      </c>
    </row>
    <row r="36" ht="27" spans="1:22">
      <c r="A36" s="10">
        <v>35</v>
      </c>
      <c r="B36" s="11" t="s">
        <v>1176</v>
      </c>
      <c r="C36" s="11" t="s">
        <v>257</v>
      </c>
      <c r="D36" s="11" t="s">
        <v>329</v>
      </c>
      <c r="E36" s="11" t="s">
        <v>331</v>
      </c>
      <c r="F36" s="17">
        <v>46204</v>
      </c>
      <c r="G36" s="17">
        <v>46204</v>
      </c>
      <c r="H36" s="11" t="s">
        <v>1316</v>
      </c>
      <c r="I36" s="11" t="s">
        <v>73</v>
      </c>
      <c r="J36" s="11" t="s">
        <v>1257</v>
      </c>
      <c r="K36" s="11" t="s">
        <v>1247</v>
      </c>
      <c r="L36" s="11" t="s">
        <v>516</v>
      </c>
      <c r="M36" s="11" t="s">
        <v>535</v>
      </c>
      <c r="N36" s="11" t="s">
        <v>1248</v>
      </c>
      <c r="O36" s="11" t="s">
        <v>330</v>
      </c>
      <c r="P36" s="11" t="s">
        <v>1249</v>
      </c>
      <c r="Q36" s="11"/>
      <c r="R36" s="11" t="s">
        <v>276</v>
      </c>
      <c r="S36" s="11" t="s">
        <v>126</v>
      </c>
      <c r="T36" s="11" t="s">
        <v>83</v>
      </c>
      <c r="U36" s="11" t="s">
        <v>1276</v>
      </c>
      <c r="V36" s="10" t="s">
        <v>1313</v>
      </c>
    </row>
    <row r="37" ht="27" spans="1:22">
      <c r="A37" s="3">
        <v>36</v>
      </c>
      <c r="B37" s="4" t="s">
        <v>1176</v>
      </c>
      <c r="C37" s="4" t="s">
        <v>257</v>
      </c>
      <c r="D37" s="4" t="s">
        <v>329</v>
      </c>
      <c r="E37" s="4" t="s">
        <v>331</v>
      </c>
      <c r="F37" s="18">
        <v>46204</v>
      </c>
      <c r="G37" s="18">
        <v>46204</v>
      </c>
      <c r="H37" s="4" t="s">
        <v>1317</v>
      </c>
      <c r="I37" s="4" t="s">
        <v>73</v>
      </c>
      <c r="J37" s="4" t="s">
        <v>1279</v>
      </c>
      <c r="K37" s="4" t="s">
        <v>1247</v>
      </c>
      <c r="L37" s="4" t="s">
        <v>516</v>
      </c>
      <c r="M37" s="4" t="s">
        <v>535</v>
      </c>
      <c r="N37" s="4" t="s">
        <v>1248</v>
      </c>
      <c r="O37" s="4" t="s">
        <v>330</v>
      </c>
      <c r="P37" s="4" t="s">
        <v>1249</v>
      </c>
      <c r="Q37" s="4"/>
      <c r="R37" s="4" t="s">
        <v>276</v>
      </c>
      <c r="S37" s="4" t="s">
        <v>126</v>
      </c>
      <c r="T37" s="4" t="s">
        <v>83</v>
      </c>
      <c r="U37" s="4" t="s">
        <v>1276</v>
      </c>
      <c r="V37" s="3" t="s">
        <v>1313</v>
      </c>
    </row>
    <row r="38" ht="27" spans="1:22">
      <c r="A38" s="10">
        <v>37</v>
      </c>
      <c r="B38" s="11" t="s">
        <v>1176</v>
      </c>
      <c r="C38" s="11" t="s">
        <v>257</v>
      </c>
      <c r="D38" s="11" t="s">
        <v>329</v>
      </c>
      <c r="E38" s="11" t="s">
        <v>331</v>
      </c>
      <c r="F38" s="17">
        <v>46204</v>
      </c>
      <c r="G38" s="17">
        <v>46204</v>
      </c>
      <c r="H38" s="11" t="s">
        <v>1318</v>
      </c>
      <c r="I38" s="11" t="s">
        <v>73</v>
      </c>
      <c r="J38" s="11" t="s">
        <v>1259</v>
      </c>
      <c r="K38" s="11" t="s">
        <v>1247</v>
      </c>
      <c r="L38" s="11" t="s">
        <v>516</v>
      </c>
      <c r="M38" s="11" t="s">
        <v>535</v>
      </c>
      <c r="N38" s="11" t="s">
        <v>1248</v>
      </c>
      <c r="O38" s="11" t="s">
        <v>330</v>
      </c>
      <c r="P38" s="11" t="s">
        <v>1249</v>
      </c>
      <c r="Q38" s="11"/>
      <c r="R38" s="11" t="s">
        <v>276</v>
      </c>
      <c r="S38" s="11" t="s">
        <v>126</v>
      </c>
      <c r="T38" s="11" t="s">
        <v>83</v>
      </c>
      <c r="U38" s="11" t="s">
        <v>1276</v>
      </c>
      <c r="V38" s="10" t="s">
        <v>1313</v>
      </c>
    </row>
    <row r="39" ht="27" spans="1:22">
      <c r="A39" s="3">
        <v>38</v>
      </c>
      <c r="B39" s="4" t="s">
        <v>1180</v>
      </c>
      <c r="C39" s="4" t="s">
        <v>257</v>
      </c>
      <c r="D39" s="4" t="s">
        <v>336</v>
      </c>
      <c r="E39" s="4" t="s">
        <v>338</v>
      </c>
      <c r="F39" s="18">
        <v>46204</v>
      </c>
      <c r="G39" s="18">
        <v>46208</v>
      </c>
      <c r="H39" s="4" t="s">
        <v>1319</v>
      </c>
      <c r="I39" s="4" t="s">
        <v>73</v>
      </c>
      <c r="J39" s="4" t="s">
        <v>1257</v>
      </c>
      <c r="K39" s="4" t="s">
        <v>1247</v>
      </c>
      <c r="L39" s="4" t="s">
        <v>516</v>
      </c>
      <c r="M39" s="4" t="s">
        <v>535</v>
      </c>
      <c r="N39" s="4" t="s">
        <v>1248</v>
      </c>
      <c r="O39" s="4" t="s">
        <v>337</v>
      </c>
      <c r="P39" s="4" t="s">
        <v>1249</v>
      </c>
      <c r="Q39" s="4"/>
      <c r="R39" s="4" t="s">
        <v>276</v>
      </c>
      <c r="S39" s="4" t="s">
        <v>126</v>
      </c>
      <c r="T39" s="4" t="s">
        <v>83</v>
      </c>
      <c r="U39" s="4" t="s">
        <v>1276</v>
      </c>
      <c r="V39" s="3" t="s">
        <v>1320</v>
      </c>
    </row>
    <row r="40" ht="27" spans="1:22">
      <c r="A40" s="10">
        <v>39</v>
      </c>
      <c r="B40" s="11" t="s">
        <v>1180</v>
      </c>
      <c r="C40" s="11" t="s">
        <v>257</v>
      </c>
      <c r="D40" s="11" t="s">
        <v>336</v>
      </c>
      <c r="E40" s="11" t="s">
        <v>338</v>
      </c>
      <c r="F40" s="17">
        <v>46204</v>
      </c>
      <c r="G40" s="17">
        <v>46207</v>
      </c>
      <c r="H40" s="11" t="s">
        <v>1321</v>
      </c>
      <c r="I40" s="11" t="s">
        <v>1322</v>
      </c>
      <c r="J40" s="11" t="s">
        <v>1275</v>
      </c>
      <c r="K40" s="11" t="s">
        <v>1247</v>
      </c>
      <c r="L40" s="11" t="s">
        <v>516</v>
      </c>
      <c r="M40" s="11" t="s">
        <v>535</v>
      </c>
      <c r="N40" s="11" t="s">
        <v>1248</v>
      </c>
      <c r="O40" s="11" t="s">
        <v>337</v>
      </c>
      <c r="P40" s="11" t="s">
        <v>1249</v>
      </c>
      <c r="Q40" s="11"/>
      <c r="R40" s="11" t="s">
        <v>276</v>
      </c>
      <c r="S40" s="11" t="s">
        <v>126</v>
      </c>
      <c r="T40" s="11" t="s">
        <v>83</v>
      </c>
      <c r="U40" s="11" t="s">
        <v>1276</v>
      </c>
      <c r="V40" s="10" t="s">
        <v>1320</v>
      </c>
    </row>
    <row r="41" ht="27" spans="1:22">
      <c r="A41" s="3">
        <v>40</v>
      </c>
      <c r="B41" s="4" t="s">
        <v>1180</v>
      </c>
      <c r="C41" s="4" t="s">
        <v>257</v>
      </c>
      <c r="D41" s="4" t="s">
        <v>336</v>
      </c>
      <c r="E41" s="4" t="s">
        <v>338</v>
      </c>
      <c r="F41" s="18">
        <v>46204</v>
      </c>
      <c r="G41" s="18">
        <v>46205</v>
      </c>
      <c r="H41" s="4" t="s">
        <v>1323</v>
      </c>
      <c r="I41" s="4" t="s">
        <v>73</v>
      </c>
      <c r="J41" s="4" t="s">
        <v>1324</v>
      </c>
      <c r="K41" s="4" t="s">
        <v>1247</v>
      </c>
      <c r="L41" s="4" t="s">
        <v>516</v>
      </c>
      <c r="M41" s="4" t="s">
        <v>535</v>
      </c>
      <c r="N41" s="4" t="s">
        <v>1248</v>
      </c>
      <c r="O41" s="4" t="s">
        <v>337</v>
      </c>
      <c r="P41" s="4" t="s">
        <v>1249</v>
      </c>
      <c r="Q41" s="4"/>
      <c r="R41" s="4" t="s">
        <v>276</v>
      </c>
      <c r="S41" s="4" t="s">
        <v>126</v>
      </c>
      <c r="T41" s="4" t="s">
        <v>83</v>
      </c>
      <c r="U41" s="4" t="s">
        <v>1276</v>
      </c>
      <c r="V41" s="3" t="s">
        <v>1320</v>
      </c>
    </row>
    <row r="42" ht="27" spans="1:22">
      <c r="A42" s="10">
        <v>41</v>
      </c>
      <c r="B42" s="11" t="s">
        <v>1180</v>
      </c>
      <c r="C42" s="11" t="s">
        <v>257</v>
      </c>
      <c r="D42" s="11" t="s">
        <v>336</v>
      </c>
      <c r="E42" s="11" t="s">
        <v>338</v>
      </c>
      <c r="F42" s="17">
        <v>46204</v>
      </c>
      <c r="G42" s="17">
        <v>46205</v>
      </c>
      <c r="H42" s="11" t="s">
        <v>1325</v>
      </c>
      <c r="I42" s="11" t="s">
        <v>73</v>
      </c>
      <c r="J42" s="11" t="s">
        <v>1259</v>
      </c>
      <c r="K42" s="11" t="s">
        <v>1247</v>
      </c>
      <c r="L42" s="11" t="s">
        <v>516</v>
      </c>
      <c r="M42" s="11" t="s">
        <v>535</v>
      </c>
      <c r="N42" s="11" t="s">
        <v>1248</v>
      </c>
      <c r="O42" s="11" t="s">
        <v>337</v>
      </c>
      <c r="P42" s="11" t="s">
        <v>1249</v>
      </c>
      <c r="Q42" s="11"/>
      <c r="R42" s="11" t="s">
        <v>276</v>
      </c>
      <c r="S42" s="11" t="s">
        <v>126</v>
      </c>
      <c r="T42" s="11" t="s">
        <v>83</v>
      </c>
      <c r="U42" s="11" t="s">
        <v>1276</v>
      </c>
      <c r="V42" s="10" t="s">
        <v>1320</v>
      </c>
    </row>
    <row r="43" ht="27" spans="1:22">
      <c r="A43" s="3">
        <v>42</v>
      </c>
      <c r="B43" s="3" t="s">
        <v>1183</v>
      </c>
      <c r="C43" s="3" t="s">
        <v>342</v>
      </c>
      <c r="D43" s="3" t="s">
        <v>271</v>
      </c>
      <c r="E43" s="3" t="s">
        <v>344</v>
      </c>
      <c r="F43" s="19">
        <v>46219</v>
      </c>
      <c r="G43" s="19"/>
      <c r="H43" s="3" t="s">
        <v>1326</v>
      </c>
      <c r="I43" s="3" t="s">
        <v>73</v>
      </c>
      <c r="J43" s="3" t="s">
        <v>1327</v>
      </c>
      <c r="K43" s="3" t="s">
        <v>1247</v>
      </c>
      <c r="L43" s="3" t="s">
        <v>516</v>
      </c>
      <c r="M43" s="3" t="s">
        <v>535</v>
      </c>
      <c r="N43" s="3" t="s">
        <v>277</v>
      </c>
      <c r="O43" s="3" t="s">
        <v>272</v>
      </c>
      <c r="P43" s="3" t="s">
        <v>1249</v>
      </c>
      <c r="Q43" s="3"/>
      <c r="R43" s="3" t="s">
        <v>346</v>
      </c>
      <c r="S43" s="3" t="s">
        <v>126</v>
      </c>
      <c r="T43" s="3" t="s">
        <v>83</v>
      </c>
      <c r="U43" s="3" t="s">
        <v>1328</v>
      </c>
      <c r="V43" s="3" t="s">
        <v>1251</v>
      </c>
    </row>
    <row r="44" ht="27" spans="1:22">
      <c r="A44" s="13">
        <v>43</v>
      </c>
      <c r="B44" s="13" t="s">
        <v>1183</v>
      </c>
      <c r="C44" s="13" t="s">
        <v>342</v>
      </c>
      <c r="D44" s="13" t="s">
        <v>271</v>
      </c>
      <c r="E44" s="13" t="s">
        <v>344</v>
      </c>
      <c r="F44" s="20">
        <v>46219</v>
      </c>
      <c r="G44" s="20"/>
      <c r="H44" s="13" t="s">
        <v>1329</v>
      </c>
      <c r="I44" s="13" t="s">
        <v>73</v>
      </c>
      <c r="J44" s="13" t="s">
        <v>1264</v>
      </c>
      <c r="K44" s="13" t="s">
        <v>1247</v>
      </c>
      <c r="L44" s="13" t="s">
        <v>516</v>
      </c>
      <c r="M44" s="13" t="s">
        <v>535</v>
      </c>
      <c r="N44" s="13" t="s">
        <v>277</v>
      </c>
      <c r="O44" s="13" t="s">
        <v>272</v>
      </c>
      <c r="P44" s="13" t="s">
        <v>1249</v>
      </c>
      <c r="Q44" s="13"/>
      <c r="R44" s="13" t="s">
        <v>346</v>
      </c>
      <c r="S44" s="13" t="s">
        <v>126</v>
      </c>
      <c r="T44" s="13" t="s">
        <v>83</v>
      </c>
      <c r="U44" s="13" t="s">
        <v>1328</v>
      </c>
      <c r="V44" s="13" t="s">
        <v>1251</v>
      </c>
    </row>
    <row r="45" ht="27" spans="1:22">
      <c r="A45" s="13">
        <v>44</v>
      </c>
      <c r="B45" s="13" t="s">
        <v>1183</v>
      </c>
      <c r="C45" s="13" t="s">
        <v>342</v>
      </c>
      <c r="D45" s="13" t="s">
        <v>271</v>
      </c>
      <c r="E45" s="13" t="s">
        <v>344</v>
      </c>
      <c r="F45" s="20">
        <v>46219</v>
      </c>
      <c r="G45" s="20"/>
      <c r="H45" s="13" t="s">
        <v>1330</v>
      </c>
      <c r="I45" s="13" t="s">
        <v>73</v>
      </c>
      <c r="J45" s="13" t="s">
        <v>1264</v>
      </c>
      <c r="K45" s="13" t="s">
        <v>1247</v>
      </c>
      <c r="L45" s="13" t="s">
        <v>516</v>
      </c>
      <c r="M45" s="13" t="s">
        <v>535</v>
      </c>
      <c r="N45" s="13" t="s">
        <v>277</v>
      </c>
      <c r="O45" s="13" t="s">
        <v>272</v>
      </c>
      <c r="P45" s="13" t="s">
        <v>1249</v>
      </c>
      <c r="Q45" s="13"/>
      <c r="R45" s="13" t="s">
        <v>346</v>
      </c>
      <c r="S45" s="13" t="s">
        <v>126</v>
      </c>
      <c r="T45" s="13" t="s">
        <v>83</v>
      </c>
      <c r="U45" s="13" t="s">
        <v>1328</v>
      </c>
      <c r="V45" s="13" t="s">
        <v>1251</v>
      </c>
    </row>
    <row r="46" ht="27" spans="1:22">
      <c r="A46" s="13">
        <v>45</v>
      </c>
      <c r="B46" s="13" t="s">
        <v>1183</v>
      </c>
      <c r="C46" s="13" t="s">
        <v>342</v>
      </c>
      <c r="D46" s="13" t="s">
        <v>271</v>
      </c>
      <c r="E46" s="13" t="s">
        <v>344</v>
      </c>
      <c r="F46" s="20">
        <v>46219</v>
      </c>
      <c r="G46" s="20"/>
      <c r="H46" s="13" t="s">
        <v>1331</v>
      </c>
      <c r="I46" s="13" t="s">
        <v>73</v>
      </c>
      <c r="J46" s="13" t="s">
        <v>1257</v>
      </c>
      <c r="K46" s="13" t="s">
        <v>1247</v>
      </c>
      <c r="L46" s="13" t="s">
        <v>516</v>
      </c>
      <c r="M46" s="13" t="s">
        <v>535</v>
      </c>
      <c r="N46" s="13" t="s">
        <v>277</v>
      </c>
      <c r="O46" s="13" t="s">
        <v>272</v>
      </c>
      <c r="P46" s="13" t="s">
        <v>1249</v>
      </c>
      <c r="Q46" s="13"/>
      <c r="R46" s="13" t="s">
        <v>346</v>
      </c>
      <c r="S46" s="13" t="s">
        <v>126</v>
      </c>
      <c r="T46" s="13" t="s">
        <v>83</v>
      </c>
      <c r="U46" s="13" t="s">
        <v>1328</v>
      </c>
      <c r="V46" s="13" t="s">
        <v>1251</v>
      </c>
    </row>
    <row r="47" ht="27" spans="1:22">
      <c r="A47" s="13">
        <v>46</v>
      </c>
      <c r="B47" s="13" t="s">
        <v>1183</v>
      </c>
      <c r="C47" s="13" t="s">
        <v>342</v>
      </c>
      <c r="D47" s="13" t="s">
        <v>271</v>
      </c>
      <c r="E47" s="13" t="s">
        <v>344</v>
      </c>
      <c r="F47" s="20">
        <v>46219</v>
      </c>
      <c r="G47" s="20"/>
      <c r="H47" s="13" t="s">
        <v>1332</v>
      </c>
      <c r="I47" s="13" t="s">
        <v>1333</v>
      </c>
      <c r="J47" s="13" t="s">
        <v>1257</v>
      </c>
      <c r="K47" s="13" t="s">
        <v>1247</v>
      </c>
      <c r="L47" s="13" t="s">
        <v>516</v>
      </c>
      <c r="M47" s="13" t="s">
        <v>535</v>
      </c>
      <c r="N47" s="13" t="s">
        <v>277</v>
      </c>
      <c r="O47" s="13" t="s">
        <v>272</v>
      </c>
      <c r="P47" s="13" t="s">
        <v>1249</v>
      </c>
      <c r="Q47" s="13"/>
      <c r="R47" s="13" t="s">
        <v>346</v>
      </c>
      <c r="S47" s="13" t="s">
        <v>126</v>
      </c>
      <c r="T47" s="13" t="s">
        <v>83</v>
      </c>
      <c r="U47" s="13" t="s">
        <v>1328</v>
      </c>
      <c r="V47" s="13" t="s">
        <v>1251</v>
      </c>
    </row>
    <row r="48" ht="27" spans="1:22">
      <c r="A48" s="13">
        <v>47</v>
      </c>
      <c r="B48" s="13" t="s">
        <v>1183</v>
      </c>
      <c r="C48" s="13" t="s">
        <v>342</v>
      </c>
      <c r="D48" s="13" t="s">
        <v>271</v>
      </c>
      <c r="E48" s="13" t="s">
        <v>344</v>
      </c>
      <c r="F48" s="20">
        <v>46219</v>
      </c>
      <c r="G48" s="20"/>
      <c r="H48" s="13" t="s">
        <v>1334</v>
      </c>
      <c r="I48" s="13" t="s">
        <v>153</v>
      </c>
      <c r="J48" s="13" t="s">
        <v>1335</v>
      </c>
      <c r="K48" s="13" t="s">
        <v>1289</v>
      </c>
      <c r="L48" s="13" t="s">
        <v>516</v>
      </c>
      <c r="M48" s="13" t="s">
        <v>533</v>
      </c>
      <c r="N48" s="13" t="s">
        <v>1336</v>
      </c>
      <c r="O48" s="13" t="s">
        <v>272</v>
      </c>
      <c r="P48" s="13" t="s">
        <v>75</v>
      </c>
      <c r="Q48" s="13"/>
      <c r="R48" s="13" t="s">
        <v>346</v>
      </c>
      <c r="S48" s="13" t="s">
        <v>126</v>
      </c>
      <c r="T48" s="13" t="s">
        <v>83</v>
      </c>
      <c r="U48" s="13" t="s">
        <v>1328</v>
      </c>
      <c r="V48" s="13" t="s">
        <v>1251</v>
      </c>
    </row>
    <row r="49" ht="27" spans="1:22">
      <c r="A49" s="13">
        <v>48</v>
      </c>
      <c r="B49" s="13" t="s">
        <v>1183</v>
      </c>
      <c r="C49" s="13" t="s">
        <v>342</v>
      </c>
      <c r="D49" s="13" t="s">
        <v>271</v>
      </c>
      <c r="E49" s="13" t="s">
        <v>344</v>
      </c>
      <c r="F49" s="20">
        <v>46219</v>
      </c>
      <c r="G49" s="20"/>
      <c r="H49" s="13" t="s">
        <v>1263</v>
      </c>
      <c r="I49" s="13" t="s">
        <v>73</v>
      </c>
      <c r="J49" s="13" t="s">
        <v>1257</v>
      </c>
      <c r="K49" s="13" t="s">
        <v>1247</v>
      </c>
      <c r="L49" s="13" t="s">
        <v>516</v>
      </c>
      <c r="M49" s="13" t="s">
        <v>535</v>
      </c>
      <c r="N49" s="13" t="s">
        <v>277</v>
      </c>
      <c r="O49" s="13" t="s">
        <v>272</v>
      </c>
      <c r="P49" s="13" t="s">
        <v>1249</v>
      </c>
      <c r="Q49" s="13"/>
      <c r="R49" s="13" t="s">
        <v>346</v>
      </c>
      <c r="S49" s="13" t="s">
        <v>126</v>
      </c>
      <c r="T49" s="13" t="s">
        <v>83</v>
      </c>
      <c r="U49" s="13" t="s">
        <v>1328</v>
      </c>
      <c r="V49" s="13" t="s">
        <v>1251</v>
      </c>
    </row>
    <row r="50" ht="27" spans="1:22">
      <c r="A50" s="13">
        <v>49</v>
      </c>
      <c r="B50" s="13" t="s">
        <v>1187</v>
      </c>
      <c r="C50" s="13" t="s">
        <v>342</v>
      </c>
      <c r="D50" s="13" t="s">
        <v>271</v>
      </c>
      <c r="E50" s="13" t="s">
        <v>351</v>
      </c>
      <c r="F50" s="20">
        <v>46220</v>
      </c>
      <c r="G50" s="20"/>
      <c r="H50" s="13" t="s">
        <v>1337</v>
      </c>
      <c r="I50" s="13" t="s">
        <v>73</v>
      </c>
      <c r="J50" s="13" t="s">
        <v>1327</v>
      </c>
      <c r="K50" s="13" t="s">
        <v>1247</v>
      </c>
      <c r="L50" s="13" t="s">
        <v>516</v>
      </c>
      <c r="M50" s="13" t="s">
        <v>535</v>
      </c>
      <c r="N50" s="13" t="s">
        <v>1338</v>
      </c>
      <c r="O50" s="13" t="s">
        <v>272</v>
      </c>
      <c r="P50" s="13" t="s">
        <v>1249</v>
      </c>
      <c r="Q50" s="13"/>
      <c r="R50" s="13" t="s">
        <v>352</v>
      </c>
      <c r="S50" s="13" t="s">
        <v>126</v>
      </c>
      <c r="T50" s="13" t="s">
        <v>83</v>
      </c>
      <c r="U50" s="13" t="s">
        <v>1328</v>
      </c>
      <c r="V50" s="13" t="s">
        <v>1261</v>
      </c>
    </row>
    <row r="51" ht="27" spans="1:22">
      <c r="A51" s="13">
        <v>50</v>
      </c>
      <c r="B51" s="13" t="s">
        <v>1187</v>
      </c>
      <c r="C51" s="13" t="s">
        <v>342</v>
      </c>
      <c r="D51" s="13" t="s">
        <v>271</v>
      </c>
      <c r="E51" s="13" t="s">
        <v>351</v>
      </c>
      <c r="F51" s="20">
        <v>46220</v>
      </c>
      <c r="G51" s="20"/>
      <c r="H51" s="13" t="s">
        <v>1329</v>
      </c>
      <c r="I51" s="13" t="s">
        <v>73</v>
      </c>
      <c r="J51" s="13" t="s">
        <v>1257</v>
      </c>
      <c r="K51" s="13" t="s">
        <v>1247</v>
      </c>
      <c r="L51" s="13" t="s">
        <v>516</v>
      </c>
      <c r="M51" s="13" t="s">
        <v>535</v>
      </c>
      <c r="N51" s="13" t="s">
        <v>1338</v>
      </c>
      <c r="O51" s="13" t="s">
        <v>272</v>
      </c>
      <c r="P51" s="13" t="s">
        <v>1249</v>
      </c>
      <c r="Q51" s="13"/>
      <c r="R51" s="13" t="s">
        <v>352</v>
      </c>
      <c r="S51" s="13" t="s">
        <v>126</v>
      </c>
      <c r="T51" s="13" t="s">
        <v>83</v>
      </c>
      <c r="U51" s="13" t="s">
        <v>1328</v>
      </c>
      <c r="V51" s="13" t="s">
        <v>1261</v>
      </c>
    </row>
    <row r="52" ht="27" spans="1:22">
      <c r="A52" s="13">
        <v>51</v>
      </c>
      <c r="B52" s="13" t="s">
        <v>1187</v>
      </c>
      <c r="C52" s="13" t="s">
        <v>342</v>
      </c>
      <c r="D52" s="13" t="s">
        <v>271</v>
      </c>
      <c r="E52" s="13" t="s">
        <v>351</v>
      </c>
      <c r="F52" s="20">
        <v>46220</v>
      </c>
      <c r="G52" s="20"/>
      <c r="H52" s="13" t="s">
        <v>1330</v>
      </c>
      <c r="I52" s="13" t="s">
        <v>73</v>
      </c>
      <c r="J52" s="13" t="s">
        <v>1264</v>
      </c>
      <c r="K52" s="13" t="s">
        <v>1247</v>
      </c>
      <c r="L52" s="13" t="s">
        <v>516</v>
      </c>
      <c r="M52" s="13" t="s">
        <v>535</v>
      </c>
      <c r="N52" s="13" t="s">
        <v>1338</v>
      </c>
      <c r="O52" s="13" t="s">
        <v>272</v>
      </c>
      <c r="P52" s="13" t="s">
        <v>1249</v>
      </c>
      <c r="Q52" s="13"/>
      <c r="R52" s="13" t="s">
        <v>352</v>
      </c>
      <c r="S52" s="13" t="s">
        <v>126</v>
      </c>
      <c r="T52" s="13" t="s">
        <v>83</v>
      </c>
      <c r="U52" s="13" t="s">
        <v>1328</v>
      </c>
      <c r="V52" s="13" t="s">
        <v>1261</v>
      </c>
    </row>
    <row r="53" ht="27" spans="1:22">
      <c r="A53" s="13">
        <v>52</v>
      </c>
      <c r="B53" s="13" t="s">
        <v>1187</v>
      </c>
      <c r="C53" s="13" t="s">
        <v>342</v>
      </c>
      <c r="D53" s="13" t="s">
        <v>271</v>
      </c>
      <c r="E53" s="13" t="s">
        <v>351</v>
      </c>
      <c r="F53" s="20">
        <v>46220</v>
      </c>
      <c r="G53" s="20"/>
      <c r="H53" s="13" t="s">
        <v>1339</v>
      </c>
      <c r="I53" s="13" t="s">
        <v>1333</v>
      </c>
      <c r="J53" s="13" t="s">
        <v>1340</v>
      </c>
      <c r="K53" s="13" t="s">
        <v>1284</v>
      </c>
      <c r="L53" s="13" t="s">
        <v>516</v>
      </c>
      <c r="M53" s="13" t="s">
        <v>535</v>
      </c>
      <c r="N53" s="13" t="s">
        <v>1338</v>
      </c>
      <c r="O53" s="13" t="s">
        <v>272</v>
      </c>
      <c r="P53" s="13" t="s">
        <v>75</v>
      </c>
      <c r="Q53" s="13"/>
      <c r="R53" s="13" t="s">
        <v>352</v>
      </c>
      <c r="S53" s="13" t="s">
        <v>126</v>
      </c>
      <c r="T53" s="13" t="s">
        <v>83</v>
      </c>
      <c r="U53" s="13" t="s">
        <v>1328</v>
      </c>
      <c r="V53" s="13" t="s">
        <v>1261</v>
      </c>
    </row>
    <row r="54" ht="27" spans="1:22">
      <c r="A54" s="13">
        <v>53</v>
      </c>
      <c r="B54" s="13" t="s">
        <v>1187</v>
      </c>
      <c r="C54" s="13" t="s">
        <v>342</v>
      </c>
      <c r="D54" s="13" t="s">
        <v>271</v>
      </c>
      <c r="E54" s="13" t="s">
        <v>351</v>
      </c>
      <c r="F54" s="20">
        <v>46220</v>
      </c>
      <c r="G54" s="20"/>
      <c r="H54" s="13" t="s">
        <v>1341</v>
      </c>
      <c r="I54" s="13" t="s">
        <v>1295</v>
      </c>
      <c r="J54" s="13" t="s">
        <v>1342</v>
      </c>
      <c r="K54" s="13" t="s">
        <v>1247</v>
      </c>
      <c r="L54" s="13" t="s">
        <v>516</v>
      </c>
      <c r="M54" s="13" t="s">
        <v>535</v>
      </c>
      <c r="N54" s="13" t="s">
        <v>1338</v>
      </c>
      <c r="O54" s="13" t="s">
        <v>272</v>
      </c>
      <c r="P54" s="13" t="s">
        <v>1249</v>
      </c>
      <c r="Q54" s="13"/>
      <c r="R54" s="13" t="s">
        <v>352</v>
      </c>
      <c r="S54" s="13" t="s">
        <v>126</v>
      </c>
      <c r="T54" s="13" t="s">
        <v>83</v>
      </c>
      <c r="U54" s="13" t="s">
        <v>1328</v>
      </c>
      <c r="V54" s="13" t="s">
        <v>1261</v>
      </c>
    </row>
    <row r="55" ht="27" spans="1:22">
      <c r="A55" s="13">
        <v>54</v>
      </c>
      <c r="B55" s="13" t="s">
        <v>1187</v>
      </c>
      <c r="C55" s="13" t="s">
        <v>342</v>
      </c>
      <c r="D55" s="13" t="s">
        <v>271</v>
      </c>
      <c r="E55" s="13" t="s">
        <v>351</v>
      </c>
      <c r="F55" s="20">
        <v>46220</v>
      </c>
      <c r="G55" s="20"/>
      <c r="H55" s="13" t="s">
        <v>1343</v>
      </c>
      <c r="I55" s="13"/>
      <c r="J55" s="13" t="s">
        <v>1344</v>
      </c>
      <c r="K55" s="13" t="s">
        <v>1247</v>
      </c>
      <c r="L55" s="13" t="s">
        <v>516</v>
      </c>
      <c r="M55" s="13" t="s">
        <v>535</v>
      </c>
      <c r="N55" s="13" t="s">
        <v>1338</v>
      </c>
      <c r="O55" s="13" t="s">
        <v>272</v>
      </c>
      <c r="P55" s="13" t="s">
        <v>1249</v>
      </c>
      <c r="Q55" s="13"/>
      <c r="R55" s="13" t="s">
        <v>352</v>
      </c>
      <c r="S55" s="13" t="s">
        <v>126</v>
      </c>
      <c r="T55" s="13" t="s">
        <v>83</v>
      </c>
      <c r="U55" s="13" t="s">
        <v>1345</v>
      </c>
      <c r="V55" s="13" t="s">
        <v>1261</v>
      </c>
    </row>
    <row r="56" ht="27" spans="1:22">
      <c r="A56" s="13">
        <v>55</v>
      </c>
      <c r="B56" s="13" t="s">
        <v>1187</v>
      </c>
      <c r="C56" s="13" t="s">
        <v>342</v>
      </c>
      <c r="D56" s="13" t="s">
        <v>271</v>
      </c>
      <c r="E56" s="13" t="s">
        <v>351</v>
      </c>
      <c r="F56" s="20">
        <v>46220</v>
      </c>
      <c r="G56" s="20"/>
      <c r="H56" s="13" t="s">
        <v>1346</v>
      </c>
      <c r="I56" s="13"/>
      <c r="J56" s="13" t="s">
        <v>1347</v>
      </c>
      <c r="K56" s="13" t="s">
        <v>1247</v>
      </c>
      <c r="L56" s="13" t="s">
        <v>516</v>
      </c>
      <c r="M56" s="13" t="s">
        <v>535</v>
      </c>
      <c r="N56" s="13" t="s">
        <v>1338</v>
      </c>
      <c r="O56" s="13" t="s">
        <v>272</v>
      </c>
      <c r="P56" s="13" t="s">
        <v>1249</v>
      </c>
      <c r="Q56" s="13"/>
      <c r="R56" s="13" t="s">
        <v>352</v>
      </c>
      <c r="S56" s="13" t="s">
        <v>126</v>
      </c>
      <c r="T56" s="13" t="s">
        <v>126</v>
      </c>
      <c r="U56" s="13" t="s">
        <v>1348</v>
      </c>
      <c r="V56" s="13" t="s">
        <v>1261</v>
      </c>
    </row>
    <row r="57" ht="27" spans="1:22">
      <c r="A57" s="13">
        <v>56</v>
      </c>
      <c r="B57" s="13" t="s">
        <v>1191</v>
      </c>
      <c r="C57" s="13" t="s">
        <v>342</v>
      </c>
      <c r="D57" s="13" t="s">
        <v>217</v>
      </c>
      <c r="E57" s="13" t="s">
        <v>357</v>
      </c>
      <c r="F57" s="20">
        <v>46217</v>
      </c>
      <c r="G57" s="20"/>
      <c r="H57" s="13" t="s">
        <v>1349</v>
      </c>
      <c r="I57" s="13" t="s">
        <v>1333</v>
      </c>
      <c r="J57" s="13" t="s">
        <v>1257</v>
      </c>
      <c r="K57" s="13" t="s">
        <v>1247</v>
      </c>
      <c r="L57" s="13" t="s">
        <v>516</v>
      </c>
      <c r="M57" s="13" t="s">
        <v>535</v>
      </c>
      <c r="N57" s="13" t="s">
        <v>1350</v>
      </c>
      <c r="O57" s="13" t="s">
        <v>355</v>
      </c>
      <c r="P57" s="13" t="s">
        <v>1249</v>
      </c>
      <c r="Q57" s="13"/>
      <c r="R57" s="13" t="s">
        <v>359</v>
      </c>
      <c r="S57" s="13" t="s">
        <v>126</v>
      </c>
      <c r="T57" s="13" t="s">
        <v>83</v>
      </c>
      <c r="U57" s="13" t="s">
        <v>1351</v>
      </c>
      <c r="V57" s="13" t="s">
        <v>1277</v>
      </c>
    </row>
    <row r="58" spans="1:22">
      <c r="A58" s="13">
        <v>57</v>
      </c>
      <c r="B58" s="13" t="s">
        <v>1195</v>
      </c>
      <c r="C58" s="13" t="s">
        <v>342</v>
      </c>
      <c r="D58" s="13" t="s">
        <v>217</v>
      </c>
      <c r="E58" s="13" t="s">
        <v>362</v>
      </c>
      <c r="F58" s="20">
        <v>46204</v>
      </c>
      <c r="G58" s="20"/>
      <c r="H58" s="13" t="s">
        <v>1352</v>
      </c>
      <c r="I58" s="13" t="s">
        <v>1353</v>
      </c>
      <c r="J58" s="13" t="s">
        <v>1354</v>
      </c>
      <c r="K58" s="13" t="s">
        <v>1247</v>
      </c>
      <c r="L58" s="13" t="s">
        <v>516</v>
      </c>
      <c r="M58" s="13" t="s">
        <v>535</v>
      </c>
      <c r="N58" s="13" t="s">
        <v>1355</v>
      </c>
      <c r="O58" s="13" t="s">
        <v>355</v>
      </c>
      <c r="P58" s="13" t="s">
        <v>1249</v>
      </c>
      <c r="Q58" s="13"/>
      <c r="R58" s="13" t="s">
        <v>364</v>
      </c>
      <c r="S58" s="13" t="s">
        <v>126</v>
      </c>
      <c r="T58" s="13" t="s">
        <v>83</v>
      </c>
      <c r="U58" s="13" t="s">
        <v>1356</v>
      </c>
      <c r="V58" s="13" t="s">
        <v>1357</v>
      </c>
    </row>
    <row r="59" spans="1:22">
      <c r="A59" s="13">
        <v>58</v>
      </c>
      <c r="B59" s="13" t="s">
        <v>1199</v>
      </c>
      <c r="C59" s="13" t="s">
        <v>342</v>
      </c>
      <c r="D59" s="13" t="s">
        <v>367</v>
      </c>
      <c r="E59" s="13" t="s">
        <v>369</v>
      </c>
      <c r="F59" s="20">
        <v>46229</v>
      </c>
      <c r="G59" s="20"/>
      <c r="H59" s="13" t="s">
        <v>1358</v>
      </c>
      <c r="I59" s="13" t="s">
        <v>73</v>
      </c>
      <c r="J59" s="13" t="s">
        <v>1257</v>
      </c>
      <c r="K59" s="13" t="s">
        <v>1247</v>
      </c>
      <c r="L59" s="13" t="s">
        <v>516</v>
      </c>
      <c r="M59" s="13" t="s">
        <v>535</v>
      </c>
      <c r="N59" s="13" t="s">
        <v>1359</v>
      </c>
      <c r="O59" s="13" t="s">
        <v>368</v>
      </c>
      <c r="P59" s="13" t="s">
        <v>1249</v>
      </c>
      <c r="Q59" s="13"/>
      <c r="R59" s="13" t="s">
        <v>372</v>
      </c>
      <c r="S59" s="13" t="s">
        <v>126</v>
      </c>
      <c r="T59" s="13" t="s">
        <v>83</v>
      </c>
      <c r="U59" s="13" t="s">
        <v>1360</v>
      </c>
      <c r="V59" s="13" t="s">
        <v>1291</v>
      </c>
    </row>
    <row r="60" ht="54" spans="1:22">
      <c r="A60" s="13">
        <v>59</v>
      </c>
      <c r="B60" s="13" t="s">
        <v>1199</v>
      </c>
      <c r="C60" s="13" t="s">
        <v>342</v>
      </c>
      <c r="D60" s="13" t="s">
        <v>367</v>
      </c>
      <c r="E60" s="13" t="s">
        <v>369</v>
      </c>
      <c r="F60" s="20">
        <v>46229</v>
      </c>
      <c r="G60" s="20"/>
      <c r="H60" s="13" t="s">
        <v>1361</v>
      </c>
      <c r="I60" s="13" t="s">
        <v>1362</v>
      </c>
      <c r="J60" s="13" t="s">
        <v>1363</v>
      </c>
      <c r="K60" s="13" t="s">
        <v>1364</v>
      </c>
      <c r="L60" s="13" t="s">
        <v>1365</v>
      </c>
      <c r="M60" s="13" t="s">
        <v>533</v>
      </c>
      <c r="N60" s="13" t="s">
        <v>1366</v>
      </c>
      <c r="O60" s="13" t="s">
        <v>368</v>
      </c>
      <c r="P60" s="13" t="s">
        <v>75</v>
      </c>
      <c r="Q60" s="13"/>
      <c r="R60" s="13" t="s">
        <v>372</v>
      </c>
      <c r="S60" s="13" t="s">
        <v>83</v>
      </c>
      <c r="T60" s="13" t="s">
        <v>83</v>
      </c>
      <c r="U60" s="13" t="s">
        <v>1367</v>
      </c>
      <c r="V60" s="13" t="s">
        <v>1368</v>
      </c>
    </row>
    <row r="61" ht="27" spans="1:22">
      <c r="A61" s="13">
        <v>60</v>
      </c>
      <c r="B61" s="13" t="s">
        <v>1203</v>
      </c>
      <c r="C61" s="13" t="s">
        <v>342</v>
      </c>
      <c r="D61" s="13" t="s">
        <v>217</v>
      </c>
      <c r="E61" s="13" t="s">
        <v>376</v>
      </c>
      <c r="F61" s="20">
        <v>46230</v>
      </c>
      <c r="G61" s="20"/>
      <c r="H61" s="13" t="s">
        <v>1369</v>
      </c>
      <c r="I61" s="13" t="s">
        <v>1362</v>
      </c>
      <c r="J61" s="13" t="s">
        <v>1370</v>
      </c>
      <c r="K61" s="13" t="s">
        <v>1371</v>
      </c>
      <c r="L61" s="13" t="s">
        <v>516</v>
      </c>
      <c r="M61" s="13" t="s">
        <v>535</v>
      </c>
      <c r="N61" s="13" t="s">
        <v>1372</v>
      </c>
      <c r="O61" s="13" t="s">
        <v>355</v>
      </c>
      <c r="P61" s="13" t="s">
        <v>75</v>
      </c>
      <c r="Q61" s="13"/>
      <c r="R61" s="13" t="s">
        <v>378</v>
      </c>
      <c r="S61" s="13" t="s">
        <v>126</v>
      </c>
      <c r="T61" s="13" t="s">
        <v>83</v>
      </c>
      <c r="U61" s="13" t="s">
        <v>1373</v>
      </c>
      <c r="V61" s="13" t="s">
        <v>1293</v>
      </c>
    </row>
    <row r="62" ht="27" spans="1:22">
      <c r="A62" s="13">
        <v>61</v>
      </c>
      <c r="B62" s="13" t="s">
        <v>1211</v>
      </c>
      <c r="C62" s="13" t="s">
        <v>257</v>
      </c>
      <c r="D62" s="13" t="s">
        <v>390</v>
      </c>
      <c r="E62" s="13" t="s">
        <v>393</v>
      </c>
      <c r="F62" s="20">
        <v>46204</v>
      </c>
      <c r="G62" s="20">
        <v>46207</v>
      </c>
      <c r="H62" s="13" t="s">
        <v>1374</v>
      </c>
      <c r="I62" s="13" t="s">
        <v>1362</v>
      </c>
      <c r="J62" s="13" t="s">
        <v>1375</v>
      </c>
      <c r="K62" s="13" t="s">
        <v>1247</v>
      </c>
      <c r="L62" s="13" t="s">
        <v>516</v>
      </c>
      <c r="M62" s="13" t="s">
        <v>535</v>
      </c>
      <c r="N62" s="13" t="s">
        <v>396</v>
      </c>
      <c r="O62" s="13" t="s">
        <v>392</v>
      </c>
      <c r="P62" s="13" t="s">
        <v>1249</v>
      </c>
      <c r="Q62" s="13"/>
      <c r="R62" s="13" t="s">
        <v>276</v>
      </c>
      <c r="S62" s="13" t="s">
        <v>126</v>
      </c>
      <c r="T62" s="13" t="s">
        <v>83</v>
      </c>
      <c r="U62" s="13" t="s">
        <v>1376</v>
      </c>
      <c r="V62" s="13" t="s">
        <v>1377</v>
      </c>
    </row>
    <row r="63" ht="27" spans="1:22">
      <c r="A63" s="13">
        <v>62</v>
      </c>
      <c r="B63" s="13" t="s">
        <v>1211</v>
      </c>
      <c r="C63" s="13" t="s">
        <v>257</v>
      </c>
      <c r="D63" s="13" t="s">
        <v>390</v>
      </c>
      <c r="E63" s="13" t="s">
        <v>393</v>
      </c>
      <c r="F63" s="20">
        <v>46204</v>
      </c>
      <c r="G63" s="20">
        <v>46206</v>
      </c>
      <c r="H63" s="13" t="s">
        <v>1378</v>
      </c>
      <c r="I63" s="13" t="s">
        <v>1379</v>
      </c>
      <c r="J63" s="13" t="s">
        <v>1275</v>
      </c>
      <c r="K63" s="13" t="s">
        <v>1247</v>
      </c>
      <c r="L63" s="13" t="s">
        <v>516</v>
      </c>
      <c r="M63" s="13" t="s">
        <v>535</v>
      </c>
      <c r="N63" s="13" t="s">
        <v>396</v>
      </c>
      <c r="O63" s="13" t="s">
        <v>392</v>
      </c>
      <c r="P63" s="13" t="s">
        <v>1249</v>
      </c>
      <c r="Q63" s="13"/>
      <c r="R63" s="13" t="s">
        <v>276</v>
      </c>
      <c r="S63" s="13" t="s">
        <v>126</v>
      </c>
      <c r="T63" s="13" t="s">
        <v>83</v>
      </c>
      <c r="U63" s="13" t="s">
        <v>1376</v>
      </c>
      <c r="V63" s="13" t="s">
        <v>1377</v>
      </c>
    </row>
    <row r="64" ht="27" spans="1:22">
      <c r="A64" s="13">
        <v>63</v>
      </c>
      <c r="B64" s="13" t="s">
        <v>1211</v>
      </c>
      <c r="C64" s="13" t="s">
        <v>257</v>
      </c>
      <c r="D64" s="13" t="s">
        <v>390</v>
      </c>
      <c r="E64" s="13" t="s">
        <v>393</v>
      </c>
      <c r="F64" s="20">
        <v>46204</v>
      </c>
      <c r="G64" s="20">
        <v>46206</v>
      </c>
      <c r="H64" s="13" t="s">
        <v>1380</v>
      </c>
      <c r="I64" s="13" t="s">
        <v>153</v>
      </c>
      <c r="J64" s="13" t="s">
        <v>1264</v>
      </c>
      <c r="K64" s="13" t="s">
        <v>1247</v>
      </c>
      <c r="L64" s="13" t="s">
        <v>516</v>
      </c>
      <c r="M64" s="13" t="s">
        <v>535</v>
      </c>
      <c r="N64" s="13" t="s">
        <v>396</v>
      </c>
      <c r="O64" s="13" t="s">
        <v>392</v>
      </c>
      <c r="P64" s="13" t="s">
        <v>1249</v>
      </c>
      <c r="Q64" s="13"/>
      <c r="R64" s="13" t="s">
        <v>276</v>
      </c>
      <c r="S64" s="13" t="s">
        <v>126</v>
      </c>
      <c r="T64" s="13" t="s">
        <v>83</v>
      </c>
      <c r="U64" s="13" t="s">
        <v>1376</v>
      </c>
      <c r="V64" s="13" t="s">
        <v>1377</v>
      </c>
    </row>
    <row r="65" ht="27" spans="1:22">
      <c r="A65" s="13">
        <v>64</v>
      </c>
      <c r="B65" s="13" t="s">
        <v>1211</v>
      </c>
      <c r="C65" s="13" t="s">
        <v>257</v>
      </c>
      <c r="D65" s="13" t="s">
        <v>390</v>
      </c>
      <c r="E65" s="13" t="s">
        <v>393</v>
      </c>
      <c r="F65" s="20">
        <v>46204</v>
      </c>
      <c r="G65" s="20">
        <v>46206</v>
      </c>
      <c r="H65" s="13" t="s">
        <v>1381</v>
      </c>
      <c r="I65" s="13" t="s">
        <v>1333</v>
      </c>
      <c r="J65" s="13" t="s">
        <v>1382</v>
      </c>
      <c r="K65" s="13" t="s">
        <v>1247</v>
      </c>
      <c r="L65" s="13" t="s">
        <v>516</v>
      </c>
      <c r="M65" s="13" t="s">
        <v>535</v>
      </c>
      <c r="N65" s="13" t="s">
        <v>396</v>
      </c>
      <c r="O65" s="13" t="s">
        <v>392</v>
      </c>
      <c r="P65" s="13" t="s">
        <v>1249</v>
      </c>
      <c r="Q65" s="13"/>
      <c r="R65" s="13" t="s">
        <v>276</v>
      </c>
      <c r="S65" s="13" t="s">
        <v>126</v>
      </c>
      <c r="T65" s="13" t="s">
        <v>83</v>
      </c>
      <c r="U65" s="13" t="s">
        <v>1376</v>
      </c>
      <c r="V65" s="13" t="s">
        <v>1377</v>
      </c>
    </row>
    <row r="66" ht="27" spans="1:22">
      <c r="A66" s="13">
        <v>65</v>
      </c>
      <c r="B66" s="13" t="s">
        <v>1211</v>
      </c>
      <c r="C66" s="13" t="s">
        <v>257</v>
      </c>
      <c r="D66" s="13" t="s">
        <v>390</v>
      </c>
      <c r="E66" s="13" t="s">
        <v>393</v>
      </c>
      <c r="F66" s="20">
        <v>46204</v>
      </c>
      <c r="G66" s="20">
        <v>46205</v>
      </c>
      <c r="H66" s="13" t="s">
        <v>1383</v>
      </c>
      <c r="I66" s="13" t="s">
        <v>1333</v>
      </c>
      <c r="J66" s="13" t="s">
        <v>1384</v>
      </c>
      <c r="K66" s="13" t="s">
        <v>1247</v>
      </c>
      <c r="L66" s="13" t="s">
        <v>516</v>
      </c>
      <c r="M66" s="13" t="s">
        <v>535</v>
      </c>
      <c r="N66" s="13" t="s">
        <v>396</v>
      </c>
      <c r="O66" s="13" t="s">
        <v>392</v>
      </c>
      <c r="P66" s="13" t="s">
        <v>1249</v>
      </c>
      <c r="Q66" s="13"/>
      <c r="R66" s="13" t="s">
        <v>276</v>
      </c>
      <c r="S66" s="13" t="s">
        <v>126</v>
      </c>
      <c r="T66" s="13" t="s">
        <v>83</v>
      </c>
      <c r="U66" s="13" t="s">
        <v>1376</v>
      </c>
      <c r="V66" s="13" t="s">
        <v>1377</v>
      </c>
    </row>
    <row r="67" ht="27" spans="1:22">
      <c r="A67" s="13">
        <v>66</v>
      </c>
      <c r="B67" s="13" t="s">
        <v>1211</v>
      </c>
      <c r="C67" s="13" t="s">
        <v>257</v>
      </c>
      <c r="D67" s="13" t="s">
        <v>390</v>
      </c>
      <c r="E67" s="13" t="s">
        <v>393</v>
      </c>
      <c r="F67" s="20">
        <v>46204</v>
      </c>
      <c r="G67" s="20">
        <v>46205</v>
      </c>
      <c r="H67" s="13" t="s">
        <v>1385</v>
      </c>
      <c r="I67" s="13" t="s">
        <v>153</v>
      </c>
      <c r="J67" s="13" t="s">
        <v>1386</v>
      </c>
      <c r="K67" s="13" t="s">
        <v>1247</v>
      </c>
      <c r="L67" s="13" t="s">
        <v>516</v>
      </c>
      <c r="M67" s="13" t="s">
        <v>535</v>
      </c>
      <c r="N67" s="13" t="s">
        <v>396</v>
      </c>
      <c r="O67" s="13" t="s">
        <v>392</v>
      </c>
      <c r="P67" s="13" t="s">
        <v>1249</v>
      </c>
      <c r="Q67" s="13">
        <v>1</v>
      </c>
      <c r="R67" s="13" t="s">
        <v>276</v>
      </c>
      <c r="S67" s="13" t="s">
        <v>126</v>
      </c>
      <c r="T67" s="13" t="s">
        <v>83</v>
      </c>
      <c r="U67" s="13" t="s">
        <v>1376</v>
      </c>
      <c r="V67" s="13" t="s">
        <v>1377</v>
      </c>
    </row>
    <row r="68" ht="27" spans="1:22">
      <c r="A68" s="13">
        <v>67</v>
      </c>
      <c r="B68" s="13" t="s">
        <v>1211</v>
      </c>
      <c r="C68" s="13" t="s">
        <v>257</v>
      </c>
      <c r="D68" s="13" t="s">
        <v>390</v>
      </c>
      <c r="E68" s="13" t="s">
        <v>393</v>
      </c>
      <c r="F68" s="20">
        <v>46204</v>
      </c>
      <c r="G68" s="20">
        <v>46204</v>
      </c>
      <c r="H68" s="13" t="s">
        <v>1387</v>
      </c>
      <c r="I68" s="13" t="s">
        <v>1333</v>
      </c>
      <c r="J68" s="13" t="s">
        <v>1275</v>
      </c>
      <c r="K68" s="13" t="s">
        <v>1247</v>
      </c>
      <c r="L68" s="13" t="s">
        <v>516</v>
      </c>
      <c r="M68" s="13" t="s">
        <v>535</v>
      </c>
      <c r="N68" s="13" t="s">
        <v>396</v>
      </c>
      <c r="O68" s="13" t="s">
        <v>392</v>
      </c>
      <c r="P68" s="13" t="s">
        <v>1249</v>
      </c>
      <c r="Q68" s="13"/>
      <c r="R68" s="13" t="s">
        <v>276</v>
      </c>
      <c r="S68" s="13" t="s">
        <v>126</v>
      </c>
      <c r="T68" s="13" t="s">
        <v>83</v>
      </c>
      <c r="U68" s="13" t="s">
        <v>1376</v>
      </c>
      <c r="V68" s="13" t="s">
        <v>1377</v>
      </c>
    </row>
    <row r="69" ht="27" spans="1:22">
      <c r="A69" s="13">
        <v>68</v>
      </c>
      <c r="B69" s="13" t="s">
        <v>1215</v>
      </c>
      <c r="C69" s="13" t="s">
        <v>400</v>
      </c>
      <c r="D69" s="13" t="s">
        <v>402</v>
      </c>
      <c r="E69" s="13" t="s">
        <v>406</v>
      </c>
      <c r="F69" s="20">
        <v>46222.6166666667</v>
      </c>
      <c r="G69" s="20">
        <v>46222.7722222222</v>
      </c>
      <c r="H69" s="13" t="s">
        <v>1388</v>
      </c>
      <c r="I69" s="13"/>
      <c r="J69" s="13" t="s">
        <v>1389</v>
      </c>
      <c r="K69" s="13" t="s">
        <v>1390</v>
      </c>
      <c r="L69" s="13" t="s">
        <v>516</v>
      </c>
      <c r="M69" s="13" t="s">
        <v>535</v>
      </c>
      <c r="N69" s="13" t="s">
        <v>1391</v>
      </c>
      <c r="O69" s="13" t="s">
        <v>404</v>
      </c>
      <c r="P69" s="13" t="s">
        <v>75</v>
      </c>
      <c r="Q69" s="13">
        <v>2</v>
      </c>
      <c r="R69" s="13" t="s">
        <v>409</v>
      </c>
      <c r="S69" s="13" t="s">
        <v>126</v>
      </c>
      <c r="T69" s="13" t="s">
        <v>83</v>
      </c>
      <c r="U69" s="13" t="s">
        <v>1392</v>
      </c>
      <c r="V69" s="13" t="s">
        <v>1393</v>
      </c>
    </row>
    <row r="70" ht="54" spans="1:22">
      <c r="A70" s="13">
        <v>69</v>
      </c>
      <c r="B70" s="13" t="s">
        <v>1215</v>
      </c>
      <c r="C70" s="13" t="s">
        <v>400</v>
      </c>
      <c r="D70" s="13" t="s">
        <v>402</v>
      </c>
      <c r="E70" s="13" t="s">
        <v>406</v>
      </c>
      <c r="F70" s="20">
        <v>46222.6166666667</v>
      </c>
      <c r="G70" s="20">
        <v>46222.6173611111</v>
      </c>
      <c r="H70" s="13" t="s">
        <v>1394</v>
      </c>
      <c r="I70" s="13"/>
      <c r="J70" s="13" t="s">
        <v>1395</v>
      </c>
      <c r="K70" s="13" t="s">
        <v>1289</v>
      </c>
      <c r="L70" s="13" t="s">
        <v>516</v>
      </c>
      <c r="M70" s="13" t="s">
        <v>533</v>
      </c>
      <c r="N70" s="13" t="s">
        <v>1391</v>
      </c>
      <c r="O70" s="13" t="s">
        <v>404</v>
      </c>
      <c r="P70" s="13" t="s">
        <v>75</v>
      </c>
      <c r="Q70" s="13">
        <v>1</v>
      </c>
      <c r="R70" s="13" t="s">
        <v>409</v>
      </c>
      <c r="S70" s="13" t="s">
        <v>126</v>
      </c>
      <c r="T70" s="13" t="s">
        <v>83</v>
      </c>
      <c r="U70" s="13" t="s">
        <v>1396</v>
      </c>
      <c r="V70" s="13" t="s">
        <v>1397</v>
      </c>
    </row>
    <row r="71" ht="27" spans="1:22">
      <c r="A71" s="13">
        <v>70</v>
      </c>
      <c r="B71" s="13" t="s">
        <v>1215</v>
      </c>
      <c r="C71" s="13" t="s">
        <v>400</v>
      </c>
      <c r="D71" s="13" t="s">
        <v>402</v>
      </c>
      <c r="E71" s="13" t="s">
        <v>406</v>
      </c>
      <c r="F71" s="20">
        <v>46222.6166666667</v>
      </c>
      <c r="G71" s="20">
        <v>46222.7722222222</v>
      </c>
      <c r="H71" s="13" t="s">
        <v>1398</v>
      </c>
      <c r="I71" s="13"/>
      <c r="J71" s="13" t="s">
        <v>1399</v>
      </c>
      <c r="K71" s="13" t="s">
        <v>1247</v>
      </c>
      <c r="L71" s="13" t="s">
        <v>516</v>
      </c>
      <c r="M71" s="13" t="s">
        <v>535</v>
      </c>
      <c r="N71" s="13" t="s">
        <v>1391</v>
      </c>
      <c r="O71" s="13" t="s">
        <v>404</v>
      </c>
      <c r="P71" s="13" t="s">
        <v>1249</v>
      </c>
      <c r="Q71" s="13"/>
      <c r="R71" s="13" t="s">
        <v>409</v>
      </c>
      <c r="S71" s="13" t="s">
        <v>126</v>
      </c>
      <c r="T71" s="13" t="s">
        <v>83</v>
      </c>
      <c r="U71" s="13" t="s">
        <v>1392</v>
      </c>
      <c r="V71" s="13" t="s">
        <v>1397</v>
      </c>
    </row>
    <row r="72" ht="27" spans="1:22">
      <c r="A72" s="13">
        <v>71</v>
      </c>
      <c r="B72" s="13" t="s">
        <v>1225</v>
      </c>
      <c r="C72" s="13" t="s">
        <v>400</v>
      </c>
      <c r="D72" s="13" t="s">
        <v>427</v>
      </c>
      <c r="E72" s="13" t="s">
        <v>430</v>
      </c>
      <c r="F72" s="20">
        <v>46204.6881944444</v>
      </c>
      <c r="G72" s="20">
        <v>46204.8569444444</v>
      </c>
      <c r="H72" s="13" t="s">
        <v>1400</v>
      </c>
      <c r="I72" s="13" t="s">
        <v>73</v>
      </c>
      <c r="J72" s="13" t="s">
        <v>1257</v>
      </c>
      <c r="K72" s="13" t="s">
        <v>1247</v>
      </c>
      <c r="L72" s="13" t="s">
        <v>516</v>
      </c>
      <c r="M72" s="13" t="s">
        <v>535</v>
      </c>
      <c r="N72" s="13" t="s">
        <v>434</v>
      </c>
      <c r="O72" s="13" t="s">
        <v>429</v>
      </c>
      <c r="P72" s="13" t="s">
        <v>1249</v>
      </c>
      <c r="Q72" s="13"/>
      <c r="R72" s="13" t="s">
        <v>433</v>
      </c>
      <c r="S72" s="13" t="s">
        <v>126</v>
      </c>
      <c r="T72" s="13" t="s">
        <v>83</v>
      </c>
      <c r="U72" s="13" t="s">
        <v>1401</v>
      </c>
      <c r="V72" s="13" t="s">
        <v>1402</v>
      </c>
    </row>
    <row r="73" ht="27" spans="1:22">
      <c r="A73" s="13">
        <v>72</v>
      </c>
      <c r="B73" s="13" t="s">
        <v>1225</v>
      </c>
      <c r="C73" s="13" t="s">
        <v>400</v>
      </c>
      <c r="D73" s="13" t="s">
        <v>427</v>
      </c>
      <c r="E73" s="13" t="s">
        <v>430</v>
      </c>
      <c r="F73" s="20">
        <v>46204.6881944444</v>
      </c>
      <c r="G73" s="20">
        <v>46204.3076388889</v>
      </c>
      <c r="H73" s="13" t="s">
        <v>1403</v>
      </c>
      <c r="I73" s="13" t="s">
        <v>73</v>
      </c>
      <c r="J73" s="13" t="s">
        <v>1259</v>
      </c>
      <c r="K73" s="13" t="s">
        <v>1247</v>
      </c>
      <c r="L73" s="13" t="s">
        <v>516</v>
      </c>
      <c r="M73" s="13" t="s">
        <v>535</v>
      </c>
      <c r="N73" s="13" t="s">
        <v>434</v>
      </c>
      <c r="O73" s="13" t="s">
        <v>429</v>
      </c>
      <c r="P73" s="13" t="s">
        <v>1249</v>
      </c>
      <c r="Q73" s="13"/>
      <c r="R73" s="13" t="s">
        <v>433</v>
      </c>
      <c r="S73" s="13" t="s">
        <v>126</v>
      </c>
      <c r="T73" s="13" t="s">
        <v>83</v>
      </c>
      <c r="U73" s="13" t="s">
        <v>1401</v>
      </c>
      <c r="V73" s="13" t="s">
        <v>1404</v>
      </c>
    </row>
    <row r="74" ht="27" spans="1:22">
      <c r="A74" s="13">
        <v>73</v>
      </c>
      <c r="B74" s="13" t="s">
        <v>1230</v>
      </c>
      <c r="C74" s="13" t="s">
        <v>438</v>
      </c>
      <c r="D74" s="13" t="s">
        <v>440</v>
      </c>
      <c r="E74" s="13" t="s">
        <v>445</v>
      </c>
      <c r="F74" s="20">
        <v>46207</v>
      </c>
      <c r="G74" s="20"/>
      <c r="H74" s="13" t="s">
        <v>1405</v>
      </c>
      <c r="I74" s="13" t="s">
        <v>1406</v>
      </c>
      <c r="J74" s="13" t="s">
        <v>1407</v>
      </c>
      <c r="K74" s="13" t="s">
        <v>1408</v>
      </c>
      <c r="L74" s="13" t="s">
        <v>525</v>
      </c>
      <c r="M74" s="13" t="s">
        <v>535</v>
      </c>
      <c r="N74" s="13" t="s">
        <v>1409</v>
      </c>
      <c r="O74" s="13" t="s">
        <v>442</v>
      </c>
      <c r="P74" s="13" t="s">
        <v>75</v>
      </c>
      <c r="Q74" s="13"/>
      <c r="R74" s="13" t="s">
        <v>448</v>
      </c>
      <c r="S74" s="13" t="s">
        <v>126</v>
      </c>
      <c r="T74" s="13" t="s">
        <v>83</v>
      </c>
      <c r="U74" s="13" t="s">
        <v>1410</v>
      </c>
      <c r="V74" s="13" t="s">
        <v>1411</v>
      </c>
    </row>
    <row r="75" ht="27" spans="1:22">
      <c r="A75" s="3">
        <v>74</v>
      </c>
      <c r="B75" s="3" t="s">
        <v>1230</v>
      </c>
      <c r="C75" s="3" t="s">
        <v>438</v>
      </c>
      <c r="D75" s="3" t="s">
        <v>440</v>
      </c>
      <c r="E75" s="3" t="s">
        <v>445</v>
      </c>
      <c r="F75" s="19">
        <v>46207</v>
      </c>
      <c r="G75" s="19"/>
      <c r="H75" s="3" t="s">
        <v>1412</v>
      </c>
      <c r="I75" s="3" t="s">
        <v>1406</v>
      </c>
      <c r="J75" s="3" t="s">
        <v>1413</v>
      </c>
      <c r="K75" s="3" t="s">
        <v>1408</v>
      </c>
      <c r="L75" s="3" t="s">
        <v>525</v>
      </c>
      <c r="M75" s="3" t="s">
        <v>533</v>
      </c>
      <c r="N75" s="3" t="s">
        <v>1409</v>
      </c>
      <c r="O75" s="3" t="s">
        <v>442</v>
      </c>
      <c r="P75" s="3" t="s">
        <v>75</v>
      </c>
      <c r="Q75" s="3"/>
      <c r="R75" s="3" t="s">
        <v>448</v>
      </c>
      <c r="S75" s="3" t="s">
        <v>126</v>
      </c>
      <c r="T75" s="3" t="s">
        <v>83</v>
      </c>
      <c r="U75" s="3" t="s">
        <v>1410</v>
      </c>
      <c r="V75" s="3" t="s">
        <v>1411</v>
      </c>
    </row>
    <row r="76" ht="27" spans="1:22">
      <c r="A76" s="3">
        <v>75</v>
      </c>
      <c r="B76" s="3" t="s">
        <v>1230</v>
      </c>
      <c r="C76" s="3" t="s">
        <v>438</v>
      </c>
      <c r="D76" s="3" t="s">
        <v>440</v>
      </c>
      <c r="E76" s="3" t="s">
        <v>445</v>
      </c>
      <c r="F76" s="19">
        <v>46207</v>
      </c>
      <c r="G76" s="19"/>
      <c r="H76" s="3" t="s">
        <v>1414</v>
      </c>
      <c r="I76" s="3" t="s">
        <v>1406</v>
      </c>
      <c r="J76" s="3" t="s">
        <v>1415</v>
      </c>
      <c r="K76" s="3" t="s">
        <v>1408</v>
      </c>
      <c r="L76" s="3" t="s">
        <v>527</v>
      </c>
      <c r="M76" s="3" t="s">
        <v>535</v>
      </c>
      <c r="N76" s="3" t="s">
        <v>1416</v>
      </c>
      <c r="O76" s="3" t="s">
        <v>442</v>
      </c>
      <c r="P76" s="3" t="s">
        <v>75</v>
      </c>
      <c r="Q76" s="3"/>
      <c r="R76" s="3" t="s">
        <v>448</v>
      </c>
      <c r="S76" s="3" t="s">
        <v>126</v>
      </c>
      <c r="T76" s="3" t="s">
        <v>83</v>
      </c>
      <c r="U76" s="3" t="s">
        <v>1410</v>
      </c>
      <c r="V76" s="3" t="s">
        <v>1411</v>
      </c>
    </row>
    <row r="77" ht="27" spans="1:22">
      <c r="A77" s="3">
        <v>76</v>
      </c>
      <c r="B77" s="3" t="s">
        <v>1230</v>
      </c>
      <c r="C77" s="3" t="s">
        <v>438</v>
      </c>
      <c r="D77" s="3" t="s">
        <v>440</v>
      </c>
      <c r="E77" s="3" t="s">
        <v>445</v>
      </c>
      <c r="F77" s="19">
        <v>46207</v>
      </c>
      <c r="G77" s="19"/>
      <c r="H77" s="3" t="s">
        <v>1417</v>
      </c>
      <c r="I77" s="3" t="s">
        <v>1406</v>
      </c>
      <c r="J77" s="3" t="s">
        <v>1418</v>
      </c>
      <c r="K77" s="3" t="s">
        <v>1408</v>
      </c>
      <c r="L77" s="3" t="s">
        <v>525</v>
      </c>
      <c r="M77" s="3" t="s">
        <v>535</v>
      </c>
      <c r="N77" s="3" t="s">
        <v>1409</v>
      </c>
      <c r="O77" s="3" t="s">
        <v>442</v>
      </c>
      <c r="P77" s="3" t="s">
        <v>75</v>
      </c>
      <c r="Q77" s="3"/>
      <c r="R77" s="3" t="s">
        <v>448</v>
      </c>
      <c r="S77" s="3" t="s">
        <v>126</v>
      </c>
      <c r="T77" s="3" t="s">
        <v>83</v>
      </c>
      <c r="U77" s="3" t="s">
        <v>1410</v>
      </c>
      <c r="V77" s="3" t="s">
        <v>1411</v>
      </c>
    </row>
    <row r="78" ht="27" spans="1:22">
      <c r="A78" s="3">
        <v>77</v>
      </c>
      <c r="B78" s="3" t="s">
        <v>1230</v>
      </c>
      <c r="C78" s="3" t="s">
        <v>438</v>
      </c>
      <c r="D78" s="3" t="s">
        <v>440</v>
      </c>
      <c r="E78" s="3" t="s">
        <v>445</v>
      </c>
      <c r="F78" s="19">
        <v>46207</v>
      </c>
      <c r="G78" s="19"/>
      <c r="H78" s="3" t="s">
        <v>1419</v>
      </c>
      <c r="I78" s="3" t="s">
        <v>1406</v>
      </c>
      <c r="J78" s="3" t="s">
        <v>1420</v>
      </c>
      <c r="K78" s="3" t="s">
        <v>1408</v>
      </c>
      <c r="L78" s="3" t="s">
        <v>521</v>
      </c>
      <c r="M78" s="3" t="s">
        <v>533</v>
      </c>
      <c r="N78" s="3" t="s">
        <v>1421</v>
      </c>
      <c r="O78" s="3" t="s">
        <v>442</v>
      </c>
      <c r="P78" s="3" t="s">
        <v>75</v>
      </c>
      <c r="Q78" s="3"/>
      <c r="R78" s="3" t="s">
        <v>448</v>
      </c>
      <c r="S78" s="3" t="s">
        <v>126</v>
      </c>
      <c r="T78" s="3" t="s">
        <v>83</v>
      </c>
      <c r="U78" s="3" t="s">
        <v>1410</v>
      </c>
      <c r="V78" s="3" t="s">
        <v>1411</v>
      </c>
    </row>
    <row r="79" ht="27" spans="1:22">
      <c r="A79" s="3">
        <v>78</v>
      </c>
      <c r="B79" s="3" t="s">
        <v>1230</v>
      </c>
      <c r="C79" s="3" t="s">
        <v>438</v>
      </c>
      <c r="D79" s="3" t="s">
        <v>440</v>
      </c>
      <c r="E79" s="3" t="s">
        <v>445</v>
      </c>
      <c r="F79" s="19">
        <v>46207</v>
      </c>
      <c r="G79" s="19"/>
      <c r="H79" s="3" t="s">
        <v>1422</v>
      </c>
      <c r="I79" s="3" t="s">
        <v>1406</v>
      </c>
      <c r="J79" s="3" t="s">
        <v>1423</v>
      </c>
      <c r="K79" s="3" t="s">
        <v>1408</v>
      </c>
      <c r="L79" s="3" t="s">
        <v>521</v>
      </c>
      <c r="M79" s="3" t="s">
        <v>535</v>
      </c>
      <c r="N79" s="3" t="s">
        <v>1421</v>
      </c>
      <c r="O79" s="3" t="s">
        <v>442</v>
      </c>
      <c r="P79" s="3" t="s">
        <v>75</v>
      </c>
      <c r="Q79" s="3"/>
      <c r="R79" s="3" t="s">
        <v>448</v>
      </c>
      <c r="S79" s="3" t="s">
        <v>126</v>
      </c>
      <c r="T79" s="3" t="s">
        <v>83</v>
      </c>
      <c r="U79" s="3" t="s">
        <v>1410</v>
      </c>
      <c r="V79" s="3" t="s">
        <v>1411</v>
      </c>
    </row>
    <row r="80" ht="27" spans="1:22">
      <c r="A80" s="3">
        <v>79</v>
      </c>
      <c r="B80" s="3" t="s">
        <v>1230</v>
      </c>
      <c r="C80" s="3" t="s">
        <v>438</v>
      </c>
      <c r="D80" s="3" t="s">
        <v>440</v>
      </c>
      <c r="E80" s="3" t="s">
        <v>445</v>
      </c>
      <c r="F80" s="19">
        <v>46207</v>
      </c>
      <c r="G80" s="19"/>
      <c r="H80" s="3" t="s">
        <v>1424</v>
      </c>
      <c r="I80" s="3" t="s">
        <v>1406</v>
      </c>
      <c r="J80" s="3" t="s">
        <v>1425</v>
      </c>
      <c r="K80" s="3" t="s">
        <v>1408</v>
      </c>
      <c r="L80" s="3" t="s">
        <v>527</v>
      </c>
      <c r="M80" s="3" t="s">
        <v>535</v>
      </c>
      <c r="N80" s="3" t="s">
        <v>1416</v>
      </c>
      <c r="O80" s="3" t="s">
        <v>442</v>
      </c>
      <c r="P80" s="3" t="s">
        <v>75</v>
      </c>
      <c r="Q80" s="3"/>
      <c r="R80" s="3" t="s">
        <v>448</v>
      </c>
      <c r="S80" s="3" t="s">
        <v>126</v>
      </c>
      <c r="T80" s="3" t="s">
        <v>83</v>
      </c>
      <c r="U80" s="3" t="s">
        <v>1410</v>
      </c>
      <c r="V80" s="3" t="s">
        <v>1411</v>
      </c>
    </row>
    <row r="81" ht="27" spans="1:22">
      <c r="A81" s="3">
        <v>80</v>
      </c>
      <c r="B81" s="3" t="s">
        <v>1230</v>
      </c>
      <c r="C81" s="3" t="s">
        <v>438</v>
      </c>
      <c r="D81" s="3" t="s">
        <v>440</v>
      </c>
      <c r="E81" s="3" t="s">
        <v>445</v>
      </c>
      <c r="F81" s="19">
        <v>46207</v>
      </c>
      <c r="G81" s="19"/>
      <c r="H81" s="3" t="s">
        <v>1426</v>
      </c>
      <c r="I81" s="3" t="s">
        <v>1406</v>
      </c>
      <c r="J81" s="3" t="s">
        <v>1427</v>
      </c>
      <c r="K81" s="3" t="s">
        <v>1408</v>
      </c>
      <c r="L81" s="3" t="s">
        <v>527</v>
      </c>
      <c r="M81" s="3" t="s">
        <v>533</v>
      </c>
      <c r="N81" s="3" t="s">
        <v>1416</v>
      </c>
      <c r="O81" s="3" t="s">
        <v>442</v>
      </c>
      <c r="P81" s="3" t="s">
        <v>75</v>
      </c>
      <c r="Q81" s="3"/>
      <c r="R81" s="3" t="s">
        <v>448</v>
      </c>
      <c r="S81" s="3" t="s">
        <v>126</v>
      </c>
      <c r="T81" s="3" t="s">
        <v>83</v>
      </c>
      <c r="U81" s="3" t="s">
        <v>1410</v>
      </c>
      <c r="V81" s="3" t="s">
        <v>1411</v>
      </c>
    </row>
    <row r="82" ht="27" spans="1:22">
      <c r="A82" s="3">
        <v>81</v>
      </c>
      <c r="B82" s="3" t="s">
        <v>1230</v>
      </c>
      <c r="C82" s="3" t="s">
        <v>438</v>
      </c>
      <c r="D82" s="3" t="s">
        <v>440</v>
      </c>
      <c r="E82" s="3" t="s">
        <v>445</v>
      </c>
      <c r="F82" s="19">
        <v>46207</v>
      </c>
      <c r="G82" s="19"/>
      <c r="H82" s="3" t="s">
        <v>1428</v>
      </c>
      <c r="I82" s="3" t="s">
        <v>1406</v>
      </c>
      <c r="J82" s="3" t="s">
        <v>1429</v>
      </c>
      <c r="K82" s="3" t="s">
        <v>1408</v>
      </c>
      <c r="L82" s="3" t="s">
        <v>525</v>
      </c>
      <c r="M82" s="3" t="s">
        <v>535</v>
      </c>
      <c r="N82" s="3" t="s">
        <v>1409</v>
      </c>
      <c r="O82" s="3" t="s">
        <v>442</v>
      </c>
      <c r="P82" s="3" t="s">
        <v>75</v>
      </c>
      <c r="Q82" s="3"/>
      <c r="R82" s="3" t="s">
        <v>448</v>
      </c>
      <c r="S82" s="3" t="s">
        <v>126</v>
      </c>
      <c r="T82" s="3" t="s">
        <v>83</v>
      </c>
      <c r="U82" s="3" t="s">
        <v>1410</v>
      </c>
      <c r="V82" s="3" t="s">
        <v>1411</v>
      </c>
    </row>
    <row r="83" ht="54" spans="1:22">
      <c r="A83" s="3">
        <v>82</v>
      </c>
      <c r="B83" s="3" t="s">
        <v>1230</v>
      </c>
      <c r="C83" s="3" t="s">
        <v>438</v>
      </c>
      <c r="D83" s="3" t="s">
        <v>440</v>
      </c>
      <c r="E83" s="3" t="s">
        <v>445</v>
      </c>
      <c r="F83" s="19">
        <v>46207</v>
      </c>
      <c r="G83" s="19"/>
      <c r="H83" s="3" t="s">
        <v>1430</v>
      </c>
      <c r="I83" s="3" t="s">
        <v>1406</v>
      </c>
      <c r="J83" s="3" t="s">
        <v>1431</v>
      </c>
      <c r="K83" s="3" t="s">
        <v>1408</v>
      </c>
      <c r="L83" s="3" t="s">
        <v>525</v>
      </c>
      <c r="M83" s="3" t="s">
        <v>533</v>
      </c>
      <c r="N83" s="3" t="s">
        <v>1409</v>
      </c>
      <c r="O83" s="3" t="s">
        <v>442</v>
      </c>
      <c r="P83" s="3" t="s">
        <v>75</v>
      </c>
      <c r="Q83" s="3"/>
      <c r="R83" s="3" t="s">
        <v>448</v>
      </c>
      <c r="S83" s="3" t="s">
        <v>126</v>
      </c>
      <c r="T83" s="3" t="s">
        <v>83</v>
      </c>
      <c r="U83" s="3" t="s">
        <v>1410</v>
      </c>
      <c r="V83" s="3" t="s">
        <v>1411</v>
      </c>
    </row>
    <row r="84" ht="27" spans="1:22">
      <c r="A84" s="3">
        <v>83</v>
      </c>
      <c r="B84" s="3" t="s">
        <v>1230</v>
      </c>
      <c r="C84" s="3" t="s">
        <v>438</v>
      </c>
      <c r="D84" s="3" t="s">
        <v>440</v>
      </c>
      <c r="E84" s="3" t="s">
        <v>445</v>
      </c>
      <c r="F84" s="19">
        <v>46207</v>
      </c>
      <c r="G84" s="19"/>
      <c r="H84" s="3" t="s">
        <v>1432</v>
      </c>
      <c r="I84" s="3" t="s">
        <v>1406</v>
      </c>
      <c r="J84" s="3" t="s">
        <v>1433</v>
      </c>
      <c r="K84" s="3" t="s">
        <v>1408</v>
      </c>
      <c r="L84" s="3" t="s">
        <v>523</v>
      </c>
      <c r="M84" s="3" t="s">
        <v>533</v>
      </c>
      <c r="N84" s="3" t="s">
        <v>1434</v>
      </c>
      <c r="O84" s="3" t="s">
        <v>442</v>
      </c>
      <c r="P84" s="3" t="s">
        <v>75</v>
      </c>
      <c r="Q84" s="3"/>
      <c r="R84" s="3" t="s">
        <v>448</v>
      </c>
      <c r="S84" s="3" t="s">
        <v>126</v>
      </c>
      <c r="T84" s="3" t="s">
        <v>83</v>
      </c>
      <c r="U84" s="3" t="s">
        <v>1410</v>
      </c>
      <c r="V84" s="3" t="s">
        <v>1411</v>
      </c>
    </row>
    <row r="85" ht="27" spans="1:22">
      <c r="A85" s="3">
        <v>84</v>
      </c>
      <c r="B85" s="3" t="s">
        <v>1230</v>
      </c>
      <c r="C85" s="3" t="s">
        <v>438</v>
      </c>
      <c r="D85" s="3" t="s">
        <v>440</v>
      </c>
      <c r="E85" s="3" t="s">
        <v>445</v>
      </c>
      <c r="F85" s="19">
        <v>46207</v>
      </c>
      <c r="G85" s="19"/>
      <c r="H85" s="3" t="s">
        <v>1435</v>
      </c>
      <c r="I85" s="3" t="s">
        <v>1406</v>
      </c>
      <c r="J85" s="3" t="s">
        <v>1436</v>
      </c>
      <c r="K85" s="3" t="s">
        <v>1408</v>
      </c>
      <c r="L85" s="3" t="s">
        <v>520</v>
      </c>
      <c r="M85" s="3" t="s">
        <v>535</v>
      </c>
      <c r="N85" s="3" t="s">
        <v>1437</v>
      </c>
      <c r="O85" s="3" t="s">
        <v>442</v>
      </c>
      <c r="P85" s="3" t="s">
        <v>75</v>
      </c>
      <c r="Q85" s="3"/>
      <c r="R85" s="3" t="s">
        <v>448</v>
      </c>
      <c r="S85" s="3" t="s">
        <v>126</v>
      </c>
      <c r="T85" s="3" t="s">
        <v>83</v>
      </c>
      <c r="U85" s="3" t="s">
        <v>1410</v>
      </c>
      <c r="V85" s="3" t="s">
        <v>1411</v>
      </c>
    </row>
    <row r="86" ht="54" spans="1:22">
      <c r="A86" s="3">
        <v>85</v>
      </c>
      <c r="B86" s="3" t="s">
        <v>1230</v>
      </c>
      <c r="C86" s="3" t="s">
        <v>438</v>
      </c>
      <c r="D86" s="3" t="s">
        <v>440</v>
      </c>
      <c r="E86" s="3" t="s">
        <v>445</v>
      </c>
      <c r="F86" s="19">
        <v>46207</v>
      </c>
      <c r="G86" s="19"/>
      <c r="H86" s="3" t="s">
        <v>1438</v>
      </c>
      <c r="I86" s="3" t="s">
        <v>1406</v>
      </c>
      <c r="J86" s="3" t="s">
        <v>1439</v>
      </c>
      <c r="K86" s="3" t="s">
        <v>1408</v>
      </c>
      <c r="L86" s="3" t="s">
        <v>520</v>
      </c>
      <c r="M86" s="3" t="s">
        <v>533</v>
      </c>
      <c r="N86" s="3" t="s">
        <v>1437</v>
      </c>
      <c r="O86" s="3" t="s">
        <v>442</v>
      </c>
      <c r="P86" s="3" t="s">
        <v>75</v>
      </c>
      <c r="Q86" s="3"/>
      <c r="R86" s="3" t="s">
        <v>448</v>
      </c>
      <c r="S86" s="3" t="s">
        <v>126</v>
      </c>
      <c r="T86" s="3" t="s">
        <v>83</v>
      </c>
      <c r="U86" s="3" t="s">
        <v>1410</v>
      </c>
      <c r="V86" s="3" t="s">
        <v>1411</v>
      </c>
    </row>
    <row r="87" ht="27" spans="1:22">
      <c r="A87" s="3">
        <v>86</v>
      </c>
      <c r="B87" s="3" t="s">
        <v>1230</v>
      </c>
      <c r="C87" s="3" t="s">
        <v>438</v>
      </c>
      <c r="D87" s="3" t="s">
        <v>440</v>
      </c>
      <c r="E87" s="3" t="s">
        <v>445</v>
      </c>
      <c r="F87" s="19">
        <v>46207</v>
      </c>
      <c r="G87" s="19"/>
      <c r="H87" s="3" t="s">
        <v>1440</v>
      </c>
      <c r="I87" s="3" t="s">
        <v>1406</v>
      </c>
      <c r="J87" s="3" t="s">
        <v>1441</v>
      </c>
      <c r="K87" s="3" t="s">
        <v>1408</v>
      </c>
      <c r="L87" s="3" t="s">
        <v>525</v>
      </c>
      <c r="M87" s="3" t="s">
        <v>533</v>
      </c>
      <c r="N87" s="3" t="s">
        <v>1409</v>
      </c>
      <c r="O87" s="3" t="s">
        <v>442</v>
      </c>
      <c r="P87" s="3" t="s">
        <v>75</v>
      </c>
      <c r="Q87" s="3"/>
      <c r="R87" s="3" t="s">
        <v>448</v>
      </c>
      <c r="S87" s="3" t="s">
        <v>126</v>
      </c>
      <c r="T87" s="3" t="s">
        <v>83</v>
      </c>
      <c r="U87" s="3" t="s">
        <v>1410</v>
      </c>
      <c r="V87" s="3" t="s">
        <v>1411</v>
      </c>
    </row>
    <row r="88" ht="27" spans="1:22">
      <c r="A88" s="3">
        <v>87</v>
      </c>
      <c r="B88" s="3" t="s">
        <v>1230</v>
      </c>
      <c r="C88" s="3" t="s">
        <v>438</v>
      </c>
      <c r="D88" s="3" t="s">
        <v>440</v>
      </c>
      <c r="E88" s="3" t="s">
        <v>445</v>
      </c>
      <c r="F88" s="19">
        <v>46207</v>
      </c>
      <c r="G88" s="19"/>
      <c r="H88" s="3" t="s">
        <v>1442</v>
      </c>
      <c r="I88" s="3" t="s">
        <v>1406</v>
      </c>
      <c r="J88" s="3" t="s">
        <v>1443</v>
      </c>
      <c r="K88" s="3" t="s">
        <v>1408</v>
      </c>
      <c r="L88" s="3" t="s">
        <v>521</v>
      </c>
      <c r="M88" s="3" t="s">
        <v>535</v>
      </c>
      <c r="N88" s="3" t="s">
        <v>1421</v>
      </c>
      <c r="O88" s="3" t="s">
        <v>442</v>
      </c>
      <c r="P88" s="3" t="s">
        <v>75</v>
      </c>
      <c r="Q88" s="3"/>
      <c r="R88" s="3" t="s">
        <v>448</v>
      </c>
      <c r="S88" s="3" t="s">
        <v>126</v>
      </c>
      <c r="T88" s="3" t="s">
        <v>83</v>
      </c>
      <c r="U88" s="3" t="s">
        <v>1410</v>
      </c>
      <c r="V88" s="3" t="s">
        <v>1411</v>
      </c>
    </row>
    <row r="89" ht="27" spans="1:22">
      <c r="A89" s="3">
        <v>88</v>
      </c>
      <c r="B89" s="3" t="s">
        <v>1230</v>
      </c>
      <c r="C89" s="3" t="s">
        <v>438</v>
      </c>
      <c r="D89" s="3" t="s">
        <v>440</v>
      </c>
      <c r="E89" s="3" t="s">
        <v>445</v>
      </c>
      <c r="F89" s="19">
        <v>46207</v>
      </c>
      <c r="G89" s="19"/>
      <c r="H89" s="3" t="s">
        <v>1444</v>
      </c>
      <c r="I89" s="3" t="s">
        <v>1406</v>
      </c>
      <c r="J89" s="3" t="s">
        <v>1445</v>
      </c>
      <c r="K89" s="3" t="s">
        <v>1408</v>
      </c>
      <c r="L89" s="3" t="s">
        <v>521</v>
      </c>
      <c r="M89" s="3" t="s">
        <v>535</v>
      </c>
      <c r="N89" s="3" t="s">
        <v>1421</v>
      </c>
      <c r="O89" s="3" t="s">
        <v>442</v>
      </c>
      <c r="P89" s="3" t="s">
        <v>75</v>
      </c>
      <c r="Q89" s="3"/>
      <c r="R89" s="3" t="s">
        <v>448</v>
      </c>
      <c r="S89" s="3" t="s">
        <v>126</v>
      </c>
      <c r="T89" s="3" t="s">
        <v>83</v>
      </c>
      <c r="U89" s="3" t="s">
        <v>1410</v>
      </c>
      <c r="V89" s="3" t="s">
        <v>1411</v>
      </c>
    </row>
    <row r="90" ht="27" spans="1:22">
      <c r="A90" s="3">
        <v>89</v>
      </c>
      <c r="B90" s="3" t="s">
        <v>1230</v>
      </c>
      <c r="C90" s="3" t="s">
        <v>438</v>
      </c>
      <c r="D90" s="3" t="s">
        <v>440</v>
      </c>
      <c r="E90" s="3" t="s">
        <v>445</v>
      </c>
      <c r="F90" s="19">
        <v>46207</v>
      </c>
      <c r="G90" s="19"/>
      <c r="H90" s="3" t="s">
        <v>1446</v>
      </c>
      <c r="I90" s="3" t="s">
        <v>1406</v>
      </c>
      <c r="J90" s="3" t="s">
        <v>1447</v>
      </c>
      <c r="K90" s="3" t="s">
        <v>1408</v>
      </c>
      <c r="L90" s="3" t="s">
        <v>523</v>
      </c>
      <c r="M90" s="3" t="s">
        <v>533</v>
      </c>
      <c r="N90" s="3" t="s">
        <v>1434</v>
      </c>
      <c r="O90" s="3" t="s">
        <v>442</v>
      </c>
      <c r="P90" s="3" t="s">
        <v>75</v>
      </c>
      <c r="Q90" s="3"/>
      <c r="R90" s="3" t="s">
        <v>448</v>
      </c>
      <c r="S90" s="3" t="s">
        <v>126</v>
      </c>
      <c r="T90" s="3" t="s">
        <v>83</v>
      </c>
      <c r="U90" s="3" t="s">
        <v>1410</v>
      </c>
      <c r="V90" s="3" t="s">
        <v>1411</v>
      </c>
    </row>
    <row r="91" ht="27" spans="1:22">
      <c r="A91" s="3">
        <v>90</v>
      </c>
      <c r="B91" s="3" t="s">
        <v>1230</v>
      </c>
      <c r="C91" s="3" t="s">
        <v>438</v>
      </c>
      <c r="D91" s="3" t="s">
        <v>440</v>
      </c>
      <c r="E91" s="3" t="s">
        <v>445</v>
      </c>
      <c r="F91" s="19">
        <v>46207</v>
      </c>
      <c r="G91" s="19"/>
      <c r="H91" s="3" t="s">
        <v>1448</v>
      </c>
      <c r="I91" s="3" t="s">
        <v>1406</v>
      </c>
      <c r="J91" s="3" t="s">
        <v>1449</v>
      </c>
      <c r="K91" s="3" t="s">
        <v>1408</v>
      </c>
      <c r="L91" s="3" t="s">
        <v>527</v>
      </c>
      <c r="M91" s="3" t="s">
        <v>535</v>
      </c>
      <c r="N91" s="3" t="s">
        <v>1416</v>
      </c>
      <c r="O91" s="3" t="s">
        <v>442</v>
      </c>
      <c r="P91" s="3" t="s">
        <v>75</v>
      </c>
      <c r="Q91" s="3"/>
      <c r="R91" s="3" t="s">
        <v>448</v>
      </c>
      <c r="S91" s="3" t="s">
        <v>126</v>
      </c>
      <c r="T91" s="3" t="s">
        <v>83</v>
      </c>
      <c r="U91" s="3" t="s">
        <v>1410</v>
      </c>
      <c r="V91" s="3" t="s">
        <v>1411</v>
      </c>
    </row>
    <row r="92" ht="27" spans="1:22">
      <c r="A92" s="3">
        <v>91</v>
      </c>
      <c r="B92" s="3" t="s">
        <v>1230</v>
      </c>
      <c r="C92" s="3" t="s">
        <v>438</v>
      </c>
      <c r="D92" s="3" t="s">
        <v>440</v>
      </c>
      <c r="E92" s="3" t="s">
        <v>445</v>
      </c>
      <c r="F92" s="19">
        <v>46207</v>
      </c>
      <c r="G92" s="19"/>
      <c r="H92" s="3" t="s">
        <v>1450</v>
      </c>
      <c r="I92" s="3" t="s">
        <v>1406</v>
      </c>
      <c r="J92" s="3" t="s">
        <v>1451</v>
      </c>
      <c r="K92" s="3" t="s">
        <v>1408</v>
      </c>
      <c r="L92" s="3" t="s">
        <v>525</v>
      </c>
      <c r="M92" s="3" t="s">
        <v>533</v>
      </c>
      <c r="N92" s="3" t="s">
        <v>1409</v>
      </c>
      <c r="O92" s="3" t="s">
        <v>442</v>
      </c>
      <c r="P92" s="3" t="s">
        <v>75</v>
      </c>
      <c r="Q92" s="3"/>
      <c r="R92" s="3" t="s">
        <v>448</v>
      </c>
      <c r="S92" s="3" t="s">
        <v>126</v>
      </c>
      <c r="T92" s="3" t="s">
        <v>83</v>
      </c>
      <c r="U92" s="3" t="s">
        <v>1410</v>
      </c>
      <c r="V92" s="3" t="s">
        <v>1411</v>
      </c>
    </row>
    <row r="93" ht="27" spans="1:22">
      <c r="A93" s="3">
        <v>92</v>
      </c>
      <c r="B93" s="3" t="s">
        <v>1230</v>
      </c>
      <c r="C93" s="3" t="s">
        <v>438</v>
      </c>
      <c r="D93" s="3" t="s">
        <v>440</v>
      </c>
      <c r="E93" s="3" t="s">
        <v>445</v>
      </c>
      <c r="F93" s="19">
        <v>46207</v>
      </c>
      <c r="G93" s="19"/>
      <c r="H93" s="3" t="s">
        <v>1452</v>
      </c>
      <c r="I93" s="3" t="s">
        <v>1406</v>
      </c>
      <c r="J93" s="3" t="s">
        <v>1453</v>
      </c>
      <c r="K93" s="3" t="s">
        <v>1408</v>
      </c>
      <c r="L93" s="3" t="s">
        <v>516</v>
      </c>
      <c r="M93" s="3" t="s">
        <v>535</v>
      </c>
      <c r="N93" s="3" t="s">
        <v>1454</v>
      </c>
      <c r="O93" s="3" t="s">
        <v>442</v>
      </c>
      <c r="P93" s="3" t="s">
        <v>75</v>
      </c>
      <c r="Q93" s="3"/>
      <c r="R93" s="3" t="s">
        <v>448</v>
      </c>
      <c r="S93" s="3" t="s">
        <v>126</v>
      </c>
      <c r="T93" s="3" t="s">
        <v>83</v>
      </c>
      <c r="U93" s="3" t="s">
        <v>1455</v>
      </c>
      <c r="V93" s="3" t="s">
        <v>1456</v>
      </c>
    </row>
    <row r="94" ht="27" spans="1:22">
      <c r="A94" s="3">
        <v>93</v>
      </c>
      <c r="B94" s="3" t="s">
        <v>1230</v>
      </c>
      <c r="C94" s="3" t="s">
        <v>438</v>
      </c>
      <c r="D94" s="3" t="s">
        <v>440</v>
      </c>
      <c r="E94" s="3" t="s">
        <v>445</v>
      </c>
      <c r="F94" s="19">
        <v>46207</v>
      </c>
      <c r="G94" s="19"/>
      <c r="H94" s="3" t="s">
        <v>1457</v>
      </c>
      <c r="I94" s="3" t="s">
        <v>1406</v>
      </c>
      <c r="J94" s="3" t="s">
        <v>1458</v>
      </c>
      <c r="K94" s="3" t="s">
        <v>1408</v>
      </c>
      <c r="L94" s="3" t="s">
        <v>525</v>
      </c>
      <c r="M94" s="3" t="s">
        <v>535</v>
      </c>
      <c r="N94" s="3" t="s">
        <v>1409</v>
      </c>
      <c r="O94" s="3" t="s">
        <v>442</v>
      </c>
      <c r="P94" s="3" t="s">
        <v>75</v>
      </c>
      <c r="Q94" s="3"/>
      <c r="R94" s="3" t="s">
        <v>448</v>
      </c>
      <c r="S94" s="3" t="s">
        <v>126</v>
      </c>
      <c r="T94" s="3" t="s">
        <v>83</v>
      </c>
      <c r="U94" s="3" t="s">
        <v>1410</v>
      </c>
      <c r="V94" s="3" t="s">
        <v>1411</v>
      </c>
    </row>
    <row r="95" ht="27" spans="1:22">
      <c r="A95" s="3">
        <v>94</v>
      </c>
      <c r="B95" s="3" t="s">
        <v>1230</v>
      </c>
      <c r="C95" s="3" t="s">
        <v>438</v>
      </c>
      <c r="D95" s="3" t="s">
        <v>440</v>
      </c>
      <c r="E95" s="3" t="s">
        <v>445</v>
      </c>
      <c r="F95" s="19">
        <v>46207</v>
      </c>
      <c r="G95" s="19"/>
      <c r="H95" s="3" t="s">
        <v>1459</v>
      </c>
      <c r="I95" s="3" t="s">
        <v>1406</v>
      </c>
      <c r="J95" s="3" t="s">
        <v>1460</v>
      </c>
      <c r="K95" s="3" t="s">
        <v>1408</v>
      </c>
      <c r="L95" s="3" t="s">
        <v>523</v>
      </c>
      <c r="M95" s="3" t="s">
        <v>533</v>
      </c>
      <c r="N95" s="3" t="s">
        <v>1434</v>
      </c>
      <c r="O95" s="3" t="s">
        <v>442</v>
      </c>
      <c r="P95" s="3" t="s">
        <v>75</v>
      </c>
      <c r="Q95" s="3"/>
      <c r="R95" s="3" t="s">
        <v>448</v>
      </c>
      <c r="S95" s="3" t="s">
        <v>126</v>
      </c>
      <c r="T95" s="3" t="s">
        <v>83</v>
      </c>
      <c r="U95" s="3" t="s">
        <v>1410</v>
      </c>
      <c r="V95" s="3" t="s">
        <v>1411</v>
      </c>
    </row>
    <row r="96" ht="27" spans="1:22">
      <c r="A96" s="3">
        <v>95</v>
      </c>
      <c r="B96" s="3" t="s">
        <v>1230</v>
      </c>
      <c r="C96" s="3" t="s">
        <v>438</v>
      </c>
      <c r="D96" s="3" t="s">
        <v>440</v>
      </c>
      <c r="E96" s="3" t="s">
        <v>445</v>
      </c>
      <c r="F96" s="19">
        <v>46207</v>
      </c>
      <c r="G96" s="19"/>
      <c r="H96" s="3" t="s">
        <v>1461</v>
      </c>
      <c r="I96" s="3" t="s">
        <v>1406</v>
      </c>
      <c r="J96" s="3" t="s">
        <v>1462</v>
      </c>
      <c r="K96" s="3" t="s">
        <v>1408</v>
      </c>
      <c r="L96" s="3" t="s">
        <v>516</v>
      </c>
      <c r="M96" s="3" t="s">
        <v>535</v>
      </c>
      <c r="N96" s="3" t="s">
        <v>1454</v>
      </c>
      <c r="O96" s="3" t="s">
        <v>442</v>
      </c>
      <c r="P96" s="3" t="s">
        <v>75</v>
      </c>
      <c r="Q96" s="3"/>
      <c r="R96" s="3" t="s">
        <v>448</v>
      </c>
      <c r="S96" s="3" t="s">
        <v>126</v>
      </c>
      <c r="T96" s="3" t="s">
        <v>83</v>
      </c>
      <c r="U96" s="3" t="s">
        <v>1455</v>
      </c>
      <c r="V96" s="3" t="s">
        <v>1456</v>
      </c>
    </row>
    <row r="97" ht="27" spans="1:22">
      <c r="A97" s="3">
        <v>96</v>
      </c>
      <c r="B97" s="3" t="s">
        <v>1230</v>
      </c>
      <c r="C97" s="3" t="s">
        <v>438</v>
      </c>
      <c r="D97" s="3" t="s">
        <v>440</v>
      </c>
      <c r="E97" s="3" t="s">
        <v>445</v>
      </c>
      <c r="F97" s="19">
        <v>46207</v>
      </c>
      <c r="G97" s="19"/>
      <c r="H97" s="3" t="s">
        <v>1463</v>
      </c>
      <c r="I97" s="3" t="s">
        <v>1406</v>
      </c>
      <c r="J97" s="3" t="s">
        <v>1464</v>
      </c>
      <c r="K97" s="3" t="s">
        <v>1408</v>
      </c>
      <c r="L97" s="3" t="s">
        <v>527</v>
      </c>
      <c r="M97" s="3" t="s">
        <v>535</v>
      </c>
      <c r="N97" s="3" t="s">
        <v>1416</v>
      </c>
      <c r="O97" s="3" t="s">
        <v>442</v>
      </c>
      <c r="P97" s="3" t="s">
        <v>75</v>
      </c>
      <c r="Q97" s="3"/>
      <c r="R97" s="3" t="s">
        <v>448</v>
      </c>
      <c r="S97" s="3" t="s">
        <v>126</v>
      </c>
      <c r="T97" s="3" t="s">
        <v>83</v>
      </c>
      <c r="U97" s="3" t="s">
        <v>1410</v>
      </c>
      <c r="V97" s="3" t="s">
        <v>1411</v>
      </c>
    </row>
    <row r="98" ht="27" spans="1:22">
      <c r="A98" s="3">
        <v>97</v>
      </c>
      <c r="B98" s="3" t="s">
        <v>1230</v>
      </c>
      <c r="C98" s="3" t="s">
        <v>438</v>
      </c>
      <c r="D98" s="3" t="s">
        <v>440</v>
      </c>
      <c r="E98" s="3" t="s">
        <v>445</v>
      </c>
      <c r="F98" s="19">
        <v>46207</v>
      </c>
      <c r="G98" s="19"/>
      <c r="H98" s="3" t="s">
        <v>1465</v>
      </c>
      <c r="I98" s="3" t="s">
        <v>1406</v>
      </c>
      <c r="J98" s="3" t="s">
        <v>1466</v>
      </c>
      <c r="K98" s="3" t="s">
        <v>1408</v>
      </c>
      <c r="L98" s="3" t="s">
        <v>521</v>
      </c>
      <c r="M98" s="3" t="s">
        <v>535</v>
      </c>
      <c r="N98" s="3" t="s">
        <v>1421</v>
      </c>
      <c r="O98" s="3" t="s">
        <v>442</v>
      </c>
      <c r="P98" s="3" t="s">
        <v>75</v>
      </c>
      <c r="Q98" s="3"/>
      <c r="R98" s="3" t="s">
        <v>448</v>
      </c>
      <c r="S98" s="3" t="s">
        <v>126</v>
      </c>
      <c r="T98" s="3" t="s">
        <v>83</v>
      </c>
      <c r="U98" s="3" t="s">
        <v>1410</v>
      </c>
      <c r="V98" s="3" t="s">
        <v>1411</v>
      </c>
    </row>
    <row r="99" ht="27" spans="1:22">
      <c r="A99" s="3">
        <v>98</v>
      </c>
      <c r="B99" s="3" t="s">
        <v>1230</v>
      </c>
      <c r="C99" s="3" t="s">
        <v>438</v>
      </c>
      <c r="D99" s="3" t="s">
        <v>440</v>
      </c>
      <c r="E99" s="3" t="s">
        <v>445</v>
      </c>
      <c r="F99" s="19">
        <v>46207</v>
      </c>
      <c r="G99" s="19"/>
      <c r="H99" s="3" t="s">
        <v>1467</v>
      </c>
      <c r="I99" s="3" t="s">
        <v>1406</v>
      </c>
      <c r="J99" s="3" t="s">
        <v>1468</v>
      </c>
      <c r="K99" s="3" t="s">
        <v>1408</v>
      </c>
      <c r="L99" s="3" t="s">
        <v>518</v>
      </c>
      <c r="M99" s="3" t="s">
        <v>533</v>
      </c>
      <c r="N99" s="3" t="s">
        <v>1469</v>
      </c>
      <c r="O99" s="3" t="s">
        <v>442</v>
      </c>
      <c r="P99" s="3" t="s">
        <v>75</v>
      </c>
      <c r="Q99" s="3"/>
      <c r="R99" s="3" t="s">
        <v>448</v>
      </c>
      <c r="S99" s="3" t="s">
        <v>126</v>
      </c>
      <c r="T99" s="3" t="s">
        <v>83</v>
      </c>
      <c r="U99" s="3" t="s">
        <v>1410</v>
      </c>
      <c r="V99" s="3" t="s">
        <v>1411</v>
      </c>
    </row>
    <row r="100" ht="27" spans="1:22">
      <c r="A100" s="3">
        <v>99</v>
      </c>
      <c r="B100" s="3" t="s">
        <v>1230</v>
      </c>
      <c r="C100" s="3" t="s">
        <v>438</v>
      </c>
      <c r="D100" s="3" t="s">
        <v>440</v>
      </c>
      <c r="E100" s="3" t="s">
        <v>445</v>
      </c>
      <c r="F100" s="19">
        <v>46207</v>
      </c>
      <c r="G100" s="19"/>
      <c r="H100" s="3" t="s">
        <v>1470</v>
      </c>
      <c r="I100" s="3" t="s">
        <v>1406</v>
      </c>
      <c r="J100" s="3" t="s">
        <v>1471</v>
      </c>
      <c r="K100" s="3" t="s">
        <v>1408</v>
      </c>
      <c r="L100" s="3" t="s">
        <v>527</v>
      </c>
      <c r="M100" s="3" t="s">
        <v>533</v>
      </c>
      <c r="N100" s="3" t="s">
        <v>1416</v>
      </c>
      <c r="O100" s="3" t="s">
        <v>442</v>
      </c>
      <c r="P100" s="3" t="s">
        <v>75</v>
      </c>
      <c r="Q100" s="3"/>
      <c r="R100" s="3" t="s">
        <v>448</v>
      </c>
      <c r="S100" s="3" t="s">
        <v>126</v>
      </c>
      <c r="T100" s="3" t="s">
        <v>83</v>
      </c>
      <c r="U100" s="3" t="s">
        <v>1410</v>
      </c>
      <c r="V100" s="3" t="s">
        <v>1411</v>
      </c>
    </row>
    <row r="101" ht="27" spans="1:22">
      <c r="A101" s="3">
        <v>100</v>
      </c>
      <c r="B101" s="3" t="s">
        <v>1230</v>
      </c>
      <c r="C101" s="3" t="s">
        <v>438</v>
      </c>
      <c r="D101" s="3" t="s">
        <v>440</v>
      </c>
      <c r="E101" s="3" t="s">
        <v>445</v>
      </c>
      <c r="F101" s="19">
        <v>46207</v>
      </c>
      <c r="G101" s="19"/>
      <c r="H101" s="3" t="s">
        <v>1472</v>
      </c>
      <c r="I101" s="3" t="s">
        <v>1406</v>
      </c>
      <c r="J101" s="3" t="s">
        <v>1473</v>
      </c>
      <c r="K101" s="3" t="s">
        <v>1408</v>
      </c>
      <c r="L101" s="3" t="s">
        <v>525</v>
      </c>
      <c r="M101" s="3" t="s">
        <v>535</v>
      </c>
      <c r="N101" s="3" t="s">
        <v>1409</v>
      </c>
      <c r="O101" s="3" t="s">
        <v>442</v>
      </c>
      <c r="P101" s="3" t="s">
        <v>75</v>
      </c>
      <c r="Q101" s="3"/>
      <c r="R101" s="3" t="s">
        <v>448</v>
      </c>
      <c r="S101" s="3" t="s">
        <v>126</v>
      </c>
      <c r="T101" s="3" t="s">
        <v>83</v>
      </c>
      <c r="U101" s="3" t="s">
        <v>1410</v>
      </c>
      <c r="V101" s="3" t="s">
        <v>1411</v>
      </c>
    </row>
    <row r="102" ht="27" spans="1:22">
      <c r="A102" s="3">
        <v>101</v>
      </c>
      <c r="B102" s="3" t="s">
        <v>1230</v>
      </c>
      <c r="C102" s="3" t="s">
        <v>438</v>
      </c>
      <c r="D102" s="3" t="s">
        <v>440</v>
      </c>
      <c r="E102" s="3" t="s">
        <v>445</v>
      </c>
      <c r="F102" s="19">
        <v>46207</v>
      </c>
      <c r="G102" s="19"/>
      <c r="H102" s="3" t="s">
        <v>1474</v>
      </c>
      <c r="I102" s="3" t="s">
        <v>1406</v>
      </c>
      <c r="J102" s="3" t="s">
        <v>1475</v>
      </c>
      <c r="K102" s="3" t="s">
        <v>1408</v>
      </c>
      <c r="L102" s="3" t="s">
        <v>520</v>
      </c>
      <c r="M102" s="3" t="s">
        <v>533</v>
      </c>
      <c r="N102" s="3" t="s">
        <v>1437</v>
      </c>
      <c r="O102" s="3" t="s">
        <v>442</v>
      </c>
      <c r="P102" s="3" t="s">
        <v>75</v>
      </c>
      <c r="Q102" s="3"/>
      <c r="R102" s="3" t="s">
        <v>448</v>
      </c>
      <c r="S102" s="3" t="s">
        <v>126</v>
      </c>
      <c r="T102" s="3" t="s">
        <v>83</v>
      </c>
      <c r="U102" s="3" t="s">
        <v>1410</v>
      </c>
      <c r="V102" s="3" t="s">
        <v>1411</v>
      </c>
    </row>
    <row r="103" ht="27" spans="1:22">
      <c r="A103" s="3">
        <v>102</v>
      </c>
      <c r="B103" s="3" t="s">
        <v>1230</v>
      </c>
      <c r="C103" s="3" t="s">
        <v>438</v>
      </c>
      <c r="D103" s="3" t="s">
        <v>440</v>
      </c>
      <c r="E103" s="3" t="s">
        <v>445</v>
      </c>
      <c r="F103" s="19">
        <v>46207</v>
      </c>
      <c r="G103" s="19"/>
      <c r="H103" s="3" t="s">
        <v>1476</v>
      </c>
      <c r="I103" s="3" t="s">
        <v>1406</v>
      </c>
      <c r="J103" s="3" t="s">
        <v>1477</v>
      </c>
      <c r="K103" s="3" t="s">
        <v>1408</v>
      </c>
      <c r="L103" s="3" t="s">
        <v>518</v>
      </c>
      <c r="M103" s="3" t="s">
        <v>533</v>
      </c>
      <c r="N103" s="3" t="s">
        <v>1469</v>
      </c>
      <c r="O103" s="3" t="s">
        <v>442</v>
      </c>
      <c r="P103" s="3" t="s">
        <v>75</v>
      </c>
      <c r="Q103" s="3"/>
      <c r="R103" s="3" t="s">
        <v>448</v>
      </c>
      <c r="S103" s="3" t="s">
        <v>126</v>
      </c>
      <c r="T103" s="3" t="s">
        <v>83</v>
      </c>
      <c r="U103" s="3" t="s">
        <v>1410</v>
      </c>
      <c r="V103" s="3" t="s">
        <v>1411</v>
      </c>
    </row>
    <row r="104" ht="27" spans="1:22">
      <c r="A104" s="3">
        <v>103</v>
      </c>
      <c r="B104" s="3" t="s">
        <v>1230</v>
      </c>
      <c r="C104" s="3" t="s">
        <v>438</v>
      </c>
      <c r="D104" s="3" t="s">
        <v>440</v>
      </c>
      <c r="E104" s="3" t="s">
        <v>445</v>
      </c>
      <c r="F104" s="19">
        <v>46207</v>
      </c>
      <c r="G104" s="19"/>
      <c r="H104" s="3" t="s">
        <v>1478</v>
      </c>
      <c r="I104" s="3" t="s">
        <v>1406</v>
      </c>
      <c r="J104" s="3" t="s">
        <v>1479</v>
      </c>
      <c r="K104" s="3" t="s">
        <v>1408</v>
      </c>
      <c r="L104" s="3" t="s">
        <v>525</v>
      </c>
      <c r="M104" s="3" t="s">
        <v>533</v>
      </c>
      <c r="N104" s="3" t="s">
        <v>1409</v>
      </c>
      <c r="O104" s="3" t="s">
        <v>442</v>
      </c>
      <c r="P104" s="3" t="s">
        <v>75</v>
      </c>
      <c r="Q104" s="3"/>
      <c r="R104" s="3" t="s">
        <v>448</v>
      </c>
      <c r="S104" s="3" t="s">
        <v>126</v>
      </c>
      <c r="T104" s="3" t="s">
        <v>83</v>
      </c>
      <c r="U104" s="3" t="s">
        <v>1410</v>
      </c>
      <c r="V104" s="3" t="s">
        <v>1411</v>
      </c>
    </row>
    <row r="105" ht="27" spans="1:22">
      <c r="A105" s="3">
        <v>104</v>
      </c>
      <c r="B105" s="3" t="s">
        <v>1230</v>
      </c>
      <c r="C105" s="3" t="s">
        <v>438</v>
      </c>
      <c r="D105" s="3" t="s">
        <v>440</v>
      </c>
      <c r="E105" s="3" t="s">
        <v>445</v>
      </c>
      <c r="F105" s="19">
        <v>46207</v>
      </c>
      <c r="G105" s="19"/>
      <c r="H105" s="3" t="s">
        <v>1480</v>
      </c>
      <c r="I105" s="3" t="s">
        <v>1406</v>
      </c>
      <c r="J105" s="3" t="s">
        <v>1481</v>
      </c>
      <c r="K105" s="3" t="s">
        <v>1408</v>
      </c>
      <c r="L105" s="3" t="s">
        <v>523</v>
      </c>
      <c r="M105" s="3" t="s">
        <v>533</v>
      </c>
      <c r="N105" s="3" t="s">
        <v>1434</v>
      </c>
      <c r="O105" s="3" t="s">
        <v>442</v>
      </c>
      <c r="P105" s="3" t="s">
        <v>75</v>
      </c>
      <c r="Q105" s="3"/>
      <c r="R105" s="3" t="s">
        <v>448</v>
      </c>
      <c r="S105" s="3" t="s">
        <v>126</v>
      </c>
      <c r="T105" s="3" t="s">
        <v>83</v>
      </c>
      <c r="U105" s="3" t="s">
        <v>1410</v>
      </c>
      <c r="V105" s="3" t="s">
        <v>1411</v>
      </c>
    </row>
    <row r="106" ht="27" spans="1:22">
      <c r="A106" s="3">
        <v>105</v>
      </c>
      <c r="B106" s="3" t="s">
        <v>1230</v>
      </c>
      <c r="C106" s="3" t="s">
        <v>438</v>
      </c>
      <c r="D106" s="3" t="s">
        <v>440</v>
      </c>
      <c r="E106" s="3" t="s">
        <v>445</v>
      </c>
      <c r="F106" s="19">
        <v>46207</v>
      </c>
      <c r="G106" s="19"/>
      <c r="H106" s="3" t="s">
        <v>1482</v>
      </c>
      <c r="I106" s="3" t="s">
        <v>1406</v>
      </c>
      <c r="J106" s="3" t="s">
        <v>1483</v>
      </c>
      <c r="K106" s="3" t="s">
        <v>1408</v>
      </c>
      <c r="L106" s="3" t="s">
        <v>520</v>
      </c>
      <c r="M106" s="3" t="s">
        <v>535</v>
      </c>
      <c r="N106" s="3" t="s">
        <v>1437</v>
      </c>
      <c r="O106" s="3" t="s">
        <v>442</v>
      </c>
      <c r="P106" s="3" t="s">
        <v>75</v>
      </c>
      <c r="Q106" s="3"/>
      <c r="R106" s="3" t="s">
        <v>448</v>
      </c>
      <c r="S106" s="3" t="s">
        <v>126</v>
      </c>
      <c r="T106" s="3" t="s">
        <v>83</v>
      </c>
      <c r="U106" s="3" t="s">
        <v>1410</v>
      </c>
      <c r="V106" s="3" t="s">
        <v>1411</v>
      </c>
    </row>
    <row r="107" ht="27" spans="1:22">
      <c r="A107" s="3">
        <v>106</v>
      </c>
      <c r="B107" s="3" t="s">
        <v>1230</v>
      </c>
      <c r="C107" s="3" t="s">
        <v>438</v>
      </c>
      <c r="D107" s="3" t="s">
        <v>440</v>
      </c>
      <c r="E107" s="3" t="s">
        <v>445</v>
      </c>
      <c r="F107" s="19">
        <v>46207</v>
      </c>
      <c r="G107" s="19"/>
      <c r="H107" s="3" t="s">
        <v>1484</v>
      </c>
      <c r="I107" s="3" t="s">
        <v>1406</v>
      </c>
      <c r="J107" s="3" t="s">
        <v>1485</v>
      </c>
      <c r="K107" s="3" t="s">
        <v>1408</v>
      </c>
      <c r="L107" s="3" t="s">
        <v>525</v>
      </c>
      <c r="M107" s="3" t="s">
        <v>535</v>
      </c>
      <c r="N107" s="3" t="s">
        <v>1409</v>
      </c>
      <c r="O107" s="3" t="s">
        <v>442</v>
      </c>
      <c r="P107" s="3" t="s">
        <v>75</v>
      </c>
      <c r="Q107" s="3"/>
      <c r="R107" s="3" t="s">
        <v>448</v>
      </c>
      <c r="S107" s="3" t="s">
        <v>126</v>
      </c>
      <c r="T107" s="3" t="s">
        <v>83</v>
      </c>
      <c r="U107" s="3" t="s">
        <v>1410</v>
      </c>
      <c r="V107" s="3" t="s">
        <v>1411</v>
      </c>
    </row>
    <row r="108" ht="27" spans="1:22">
      <c r="A108" s="3">
        <v>107</v>
      </c>
      <c r="B108" s="3" t="s">
        <v>1230</v>
      </c>
      <c r="C108" s="3" t="s">
        <v>438</v>
      </c>
      <c r="D108" s="3" t="s">
        <v>440</v>
      </c>
      <c r="E108" s="3" t="s">
        <v>445</v>
      </c>
      <c r="F108" s="19">
        <v>46207</v>
      </c>
      <c r="G108" s="19"/>
      <c r="H108" s="3" t="s">
        <v>1486</v>
      </c>
      <c r="I108" s="3" t="s">
        <v>1406</v>
      </c>
      <c r="J108" s="3" t="s">
        <v>1487</v>
      </c>
      <c r="K108" s="3" t="s">
        <v>1408</v>
      </c>
      <c r="L108" s="3" t="s">
        <v>525</v>
      </c>
      <c r="M108" s="3" t="s">
        <v>533</v>
      </c>
      <c r="N108" s="3" t="s">
        <v>1409</v>
      </c>
      <c r="O108" s="3" t="s">
        <v>442</v>
      </c>
      <c r="P108" s="3" t="s">
        <v>75</v>
      </c>
      <c r="Q108" s="3"/>
      <c r="R108" s="3" t="s">
        <v>448</v>
      </c>
      <c r="S108" s="3" t="s">
        <v>126</v>
      </c>
      <c r="T108" s="3" t="s">
        <v>83</v>
      </c>
      <c r="U108" s="3" t="s">
        <v>1410</v>
      </c>
      <c r="V108" s="3" t="s">
        <v>1411</v>
      </c>
    </row>
    <row r="109" ht="27" spans="1:22">
      <c r="A109" s="3">
        <v>108</v>
      </c>
      <c r="B109" s="3" t="s">
        <v>1230</v>
      </c>
      <c r="C109" s="3" t="s">
        <v>438</v>
      </c>
      <c r="D109" s="3" t="s">
        <v>440</v>
      </c>
      <c r="E109" s="3" t="s">
        <v>445</v>
      </c>
      <c r="F109" s="19">
        <v>46207</v>
      </c>
      <c r="G109" s="19"/>
      <c r="H109" s="3" t="s">
        <v>1488</v>
      </c>
      <c r="I109" s="3" t="s">
        <v>1406</v>
      </c>
      <c r="J109" s="3" t="s">
        <v>1489</v>
      </c>
      <c r="K109" s="3" t="s">
        <v>1408</v>
      </c>
      <c r="L109" s="3" t="s">
        <v>518</v>
      </c>
      <c r="M109" s="3" t="s">
        <v>533</v>
      </c>
      <c r="N109" s="3" t="s">
        <v>1469</v>
      </c>
      <c r="O109" s="3" t="s">
        <v>442</v>
      </c>
      <c r="P109" s="3" t="s">
        <v>75</v>
      </c>
      <c r="Q109" s="3"/>
      <c r="R109" s="3" t="s">
        <v>448</v>
      </c>
      <c r="S109" s="3" t="s">
        <v>126</v>
      </c>
      <c r="T109" s="3" t="s">
        <v>83</v>
      </c>
      <c r="U109" s="3" t="s">
        <v>1410</v>
      </c>
      <c r="V109" s="3" t="s">
        <v>1411</v>
      </c>
    </row>
    <row r="110" ht="27" spans="1:22">
      <c r="A110" s="3">
        <v>109</v>
      </c>
      <c r="B110" s="3" t="s">
        <v>1230</v>
      </c>
      <c r="C110" s="3" t="s">
        <v>438</v>
      </c>
      <c r="D110" s="3" t="s">
        <v>440</v>
      </c>
      <c r="E110" s="3" t="s">
        <v>445</v>
      </c>
      <c r="F110" s="19">
        <v>46207</v>
      </c>
      <c r="G110" s="19"/>
      <c r="H110" s="3" t="s">
        <v>1490</v>
      </c>
      <c r="I110" s="3" t="s">
        <v>1406</v>
      </c>
      <c r="J110" s="3" t="s">
        <v>1491</v>
      </c>
      <c r="K110" s="3" t="s">
        <v>1408</v>
      </c>
      <c r="L110" s="3" t="s">
        <v>521</v>
      </c>
      <c r="M110" s="3" t="s">
        <v>533</v>
      </c>
      <c r="N110" s="3" t="s">
        <v>1421</v>
      </c>
      <c r="O110" s="3" t="s">
        <v>442</v>
      </c>
      <c r="P110" s="3" t="s">
        <v>75</v>
      </c>
      <c r="Q110" s="3"/>
      <c r="R110" s="3" t="s">
        <v>448</v>
      </c>
      <c r="S110" s="3" t="s">
        <v>126</v>
      </c>
      <c r="T110" s="3" t="s">
        <v>83</v>
      </c>
      <c r="U110" s="3" t="s">
        <v>1410</v>
      </c>
      <c r="V110" s="3" t="s">
        <v>1411</v>
      </c>
    </row>
    <row r="111" ht="27" spans="1:22">
      <c r="A111" s="3">
        <v>110</v>
      </c>
      <c r="B111" s="3" t="s">
        <v>1230</v>
      </c>
      <c r="C111" s="3" t="s">
        <v>438</v>
      </c>
      <c r="D111" s="3" t="s">
        <v>440</v>
      </c>
      <c r="E111" s="3" t="s">
        <v>445</v>
      </c>
      <c r="F111" s="19">
        <v>46207</v>
      </c>
      <c r="G111" s="19"/>
      <c r="H111" s="3" t="s">
        <v>1492</v>
      </c>
      <c r="I111" s="3" t="s">
        <v>1406</v>
      </c>
      <c r="J111" s="3" t="s">
        <v>1493</v>
      </c>
      <c r="K111" s="3" t="s">
        <v>1408</v>
      </c>
      <c r="L111" s="3" t="s">
        <v>1494</v>
      </c>
      <c r="M111" s="3" t="s">
        <v>1495</v>
      </c>
      <c r="N111" s="3" t="s">
        <v>1496</v>
      </c>
      <c r="O111" s="3" t="s">
        <v>442</v>
      </c>
      <c r="P111" s="3" t="s">
        <v>75</v>
      </c>
      <c r="Q111" s="3"/>
      <c r="R111" s="3" t="s">
        <v>448</v>
      </c>
      <c r="S111" s="3" t="s">
        <v>83</v>
      </c>
      <c r="T111" s="3" t="s">
        <v>83</v>
      </c>
      <c r="U111" s="3" t="s">
        <v>1497</v>
      </c>
      <c r="V111" s="3" t="s">
        <v>1456</v>
      </c>
    </row>
    <row r="112" ht="27" spans="1:22">
      <c r="A112" s="3">
        <v>111</v>
      </c>
      <c r="B112" s="3" t="s">
        <v>1230</v>
      </c>
      <c r="C112" s="3" t="s">
        <v>438</v>
      </c>
      <c r="D112" s="3" t="s">
        <v>440</v>
      </c>
      <c r="E112" s="3" t="s">
        <v>445</v>
      </c>
      <c r="F112" s="19">
        <v>46207</v>
      </c>
      <c r="G112" s="19"/>
      <c r="H112" s="3" t="s">
        <v>1498</v>
      </c>
      <c r="I112" s="3" t="s">
        <v>1406</v>
      </c>
      <c r="J112" s="3" t="s">
        <v>1499</v>
      </c>
      <c r="K112" s="3" t="s">
        <v>1408</v>
      </c>
      <c r="L112" s="3" t="s">
        <v>525</v>
      </c>
      <c r="M112" s="3" t="s">
        <v>535</v>
      </c>
      <c r="N112" s="3" t="s">
        <v>1409</v>
      </c>
      <c r="O112" s="3" t="s">
        <v>442</v>
      </c>
      <c r="P112" s="3" t="s">
        <v>75</v>
      </c>
      <c r="Q112" s="3"/>
      <c r="R112" s="3" t="s">
        <v>448</v>
      </c>
      <c r="S112" s="3" t="s">
        <v>126</v>
      </c>
      <c r="T112" s="3" t="s">
        <v>83</v>
      </c>
      <c r="U112" s="3" t="s">
        <v>1410</v>
      </c>
      <c r="V112" s="3" t="s">
        <v>1411</v>
      </c>
    </row>
    <row r="113" ht="40.5" spans="1:22">
      <c r="A113" s="3">
        <v>112</v>
      </c>
      <c r="B113" s="3" t="s">
        <v>1230</v>
      </c>
      <c r="C113" s="3" t="s">
        <v>438</v>
      </c>
      <c r="D113" s="3" t="s">
        <v>440</v>
      </c>
      <c r="E113" s="3" t="s">
        <v>445</v>
      </c>
      <c r="F113" s="19">
        <v>46207</v>
      </c>
      <c r="G113" s="19"/>
      <c r="H113" s="3" t="s">
        <v>1500</v>
      </c>
      <c r="I113" s="3" t="s">
        <v>1406</v>
      </c>
      <c r="J113" s="3" t="s">
        <v>1501</v>
      </c>
      <c r="K113" s="3" t="s">
        <v>1408</v>
      </c>
      <c r="L113" s="3" t="s">
        <v>521</v>
      </c>
      <c r="M113" s="3" t="s">
        <v>533</v>
      </c>
      <c r="N113" s="3" t="s">
        <v>1421</v>
      </c>
      <c r="O113" s="3" t="s">
        <v>442</v>
      </c>
      <c r="P113" s="3" t="s">
        <v>75</v>
      </c>
      <c r="Q113" s="3"/>
      <c r="R113" s="3" t="s">
        <v>448</v>
      </c>
      <c r="S113" s="3" t="s">
        <v>126</v>
      </c>
      <c r="T113" s="3" t="s">
        <v>83</v>
      </c>
      <c r="U113" s="3" t="s">
        <v>1410</v>
      </c>
      <c r="V113" s="3" t="s">
        <v>1411</v>
      </c>
    </row>
    <row r="114" ht="27" spans="1:22">
      <c r="A114" s="3">
        <v>113</v>
      </c>
      <c r="B114" s="3" t="s">
        <v>1230</v>
      </c>
      <c r="C114" s="3" t="s">
        <v>438</v>
      </c>
      <c r="D114" s="3" t="s">
        <v>440</v>
      </c>
      <c r="E114" s="3" t="s">
        <v>445</v>
      </c>
      <c r="F114" s="19">
        <v>46207</v>
      </c>
      <c r="G114" s="19"/>
      <c r="H114" s="3" t="s">
        <v>1502</v>
      </c>
      <c r="I114" s="3" t="s">
        <v>1406</v>
      </c>
      <c r="J114" s="3" t="s">
        <v>1503</v>
      </c>
      <c r="K114" s="3" t="s">
        <v>1408</v>
      </c>
      <c r="L114" s="3" t="s">
        <v>525</v>
      </c>
      <c r="M114" s="3" t="s">
        <v>533</v>
      </c>
      <c r="N114" s="3" t="s">
        <v>1409</v>
      </c>
      <c r="O114" s="3" t="s">
        <v>442</v>
      </c>
      <c r="P114" s="3" t="s">
        <v>75</v>
      </c>
      <c r="Q114" s="3"/>
      <c r="R114" s="3" t="s">
        <v>448</v>
      </c>
      <c r="S114" s="3" t="s">
        <v>126</v>
      </c>
      <c r="T114" s="3" t="s">
        <v>83</v>
      </c>
      <c r="U114" s="3" t="s">
        <v>1410</v>
      </c>
      <c r="V114" s="3" t="s">
        <v>1411</v>
      </c>
    </row>
    <row r="115" ht="27" spans="1:22">
      <c r="A115" s="3">
        <v>114</v>
      </c>
      <c r="B115" s="3" t="s">
        <v>1230</v>
      </c>
      <c r="C115" s="3" t="s">
        <v>438</v>
      </c>
      <c r="D115" s="3" t="s">
        <v>440</v>
      </c>
      <c r="E115" s="3" t="s">
        <v>445</v>
      </c>
      <c r="F115" s="19">
        <v>46207</v>
      </c>
      <c r="G115" s="19"/>
      <c r="H115" s="3" t="s">
        <v>1504</v>
      </c>
      <c r="I115" s="3" t="s">
        <v>1406</v>
      </c>
      <c r="J115" s="3" t="s">
        <v>1505</v>
      </c>
      <c r="K115" s="3" t="s">
        <v>1408</v>
      </c>
      <c r="L115" s="3" t="s">
        <v>521</v>
      </c>
      <c r="M115" s="3" t="s">
        <v>535</v>
      </c>
      <c r="N115" s="3" t="s">
        <v>1421</v>
      </c>
      <c r="O115" s="3" t="s">
        <v>442</v>
      </c>
      <c r="P115" s="3" t="s">
        <v>75</v>
      </c>
      <c r="Q115" s="3"/>
      <c r="R115" s="3" t="s">
        <v>448</v>
      </c>
      <c r="S115" s="3" t="s">
        <v>126</v>
      </c>
      <c r="T115" s="3" t="s">
        <v>83</v>
      </c>
      <c r="U115" s="3" t="s">
        <v>1410</v>
      </c>
      <c r="V115" s="3" t="s">
        <v>1411</v>
      </c>
    </row>
    <row r="116" ht="27" spans="1:22">
      <c r="A116" s="3">
        <v>115</v>
      </c>
      <c r="B116" s="3" t="s">
        <v>1230</v>
      </c>
      <c r="C116" s="3" t="s">
        <v>438</v>
      </c>
      <c r="D116" s="3" t="s">
        <v>440</v>
      </c>
      <c r="E116" s="3" t="s">
        <v>445</v>
      </c>
      <c r="F116" s="19">
        <v>46207</v>
      </c>
      <c r="G116" s="19"/>
      <c r="H116" s="3" t="s">
        <v>1506</v>
      </c>
      <c r="I116" s="3" t="s">
        <v>1406</v>
      </c>
      <c r="J116" s="3" t="s">
        <v>1507</v>
      </c>
      <c r="K116" s="3" t="s">
        <v>1408</v>
      </c>
      <c r="L116" s="3" t="s">
        <v>521</v>
      </c>
      <c r="M116" s="3" t="s">
        <v>535</v>
      </c>
      <c r="N116" s="3" t="s">
        <v>1421</v>
      </c>
      <c r="O116" s="3" t="s">
        <v>442</v>
      </c>
      <c r="P116" s="3" t="s">
        <v>75</v>
      </c>
      <c r="Q116" s="3"/>
      <c r="R116" s="3" t="s">
        <v>448</v>
      </c>
      <c r="S116" s="3" t="s">
        <v>126</v>
      </c>
      <c r="T116" s="3" t="s">
        <v>83</v>
      </c>
      <c r="U116" s="3" t="s">
        <v>1410</v>
      </c>
      <c r="V116" s="3" t="s">
        <v>1411</v>
      </c>
    </row>
    <row r="117" ht="27" spans="1:22">
      <c r="A117" s="3">
        <v>116</v>
      </c>
      <c r="B117" s="3" t="s">
        <v>1230</v>
      </c>
      <c r="C117" s="3" t="s">
        <v>438</v>
      </c>
      <c r="D117" s="3" t="s">
        <v>440</v>
      </c>
      <c r="E117" s="3" t="s">
        <v>445</v>
      </c>
      <c r="F117" s="19">
        <v>46207</v>
      </c>
      <c r="G117" s="19"/>
      <c r="H117" s="3" t="s">
        <v>1508</v>
      </c>
      <c r="I117" s="3" t="s">
        <v>1406</v>
      </c>
      <c r="J117" s="3" t="s">
        <v>1509</v>
      </c>
      <c r="K117" s="3" t="s">
        <v>1408</v>
      </c>
      <c r="L117" s="3" t="s">
        <v>525</v>
      </c>
      <c r="M117" s="3" t="s">
        <v>533</v>
      </c>
      <c r="N117" s="3" t="s">
        <v>1409</v>
      </c>
      <c r="O117" s="3" t="s">
        <v>442</v>
      </c>
      <c r="P117" s="3" t="s">
        <v>75</v>
      </c>
      <c r="Q117" s="3"/>
      <c r="R117" s="3" t="s">
        <v>448</v>
      </c>
      <c r="S117" s="3" t="s">
        <v>126</v>
      </c>
      <c r="T117" s="3" t="s">
        <v>83</v>
      </c>
      <c r="U117" s="3" t="s">
        <v>1410</v>
      </c>
      <c r="V117" s="3" t="s">
        <v>1411</v>
      </c>
    </row>
    <row r="118" ht="27" spans="1:22">
      <c r="A118" s="3">
        <v>117</v>
      </c>
      <c r="B118" s="3" t="s">
        <v>1230</v>
      </c>
      <c r="C118" s="3" t="s">
        <v>438</v>
      </c>
      <c r="D118" s="3" t="s">
        <v>440</v>
      </c>
      <c r="E118" s="3" t="s">
        <v>445</v>
      </c>
      <c r="F118" s="19">
        <v>46207</v>
      </c>
      <c r="G118" s="19"/>
      <c r="H118" s="3" t="s">
        <v>1510</v>
      </c>
      <c r="I118" s="3" t="s">
        <v>1406</v>
      </c>
      <c r="J118" s="3" t="s">
        <v>1511</v>
      </c>
      <c r="K118" s="3" t="s">
        <v>1408</v>
      </c>
      <c r="L118" s="3" t="s">
        <v>525</v>
      </c>
      <c r="M118" s="3" t="s">
        <v>533</v>
      </c>
      <c r="N118" s="3" t="s">
        <v>1409</v>
      </c>
      <c r="O118" s="3" t="s">
        <v>442</v>
      </c>
      <c r="P118" s="3" t="s">
        <v>75</v>
      </c>
      <c r="Q118" s="3"/>
      <c r="R118" s="3" t="s">
        <v>448</v>
      </c>
      <c r="S118" s="3" t="s">
        <v>126</v>
      </c>
      <c r="T118" s="3" t="s">
        <v>83</v>
      </c>
      <c r="U118" s="3" t="s">
        <v>1410</v>
      </c>
      <c r="V118" s="3" t="s">
        <v>1411</v>
      </c>
    </row>
    <row r="119" ht="27" spans="1:22">
      <c r="A119" s="3">
        <v>118</v>
      </c>
      <c r="B119" s="3" t="s">
        <v>1230</v>
      </c>
      <c r="C119" s="3" t="s">
        <v>438</v>
      </c>
      <c r="D119" s="3" t="s">
        <v>440</v>
      </c>
      <c r="E119" s="3" t="s">
        <v>445</v>
      </c>
      <c r="F119" s="19">
        <v>46207</v>
      </c>
      <c r="G119" s="19"/>
      <c r="H119" s="3" t="s">
        <v>1512</v>
      </c>
      <c r="I119" s="3" t="s">
        <v>1406</v>
      </c>
      <c r="J119" s="3" t="s">
        <v>1513</v>
      </c>
      <c r="K119" s="3" t="s">
        <v>1408</v>
      </c>
      <c r="L119" s="3" t="s">
        <v>527</v>
      </c>
      <c r="M119" s="3" t="s">
        <v>535</v>
      </c>
      <c r="N119" s="3" t="s">
        <v>1416</v>
      </c>
      <c r="O119" s="3" t="s">
        <v>442</v>
      </c>
      <c r="P119" s="3" t="s">
        <v>75</v>
      </c>
      <c r="Q119" s="3"/>
      <c r="R119" s="3" t="s">
        <v>448</v>
      </c>
      <c r="S119" s="3" t="s">
        <v>126</v>
      </c>
      <c r="T119" s="3" t="s">
        <v>83</v>
      </c>
      <c r="U119" s="3" t="s">
        <v>1410</v>
      </c>
      <c r="V119" s="3" t="s">
        <v>1411</v>
      </c>
    </row>
    <row r="120" ht="27" spans="1:22">
      <c r="A120" s="3">
        <v>119</v>
      </c>
      <c r="B120" s="3" t="s">
        <v>1230</v>
      </c>
      <c r="C120" s="3" t="s">
        <v>438</v>
      </c>
      <c r="D120" s="3" t="s">
        <v>440</v>
      </c>
      <c r="E120" s="3" t="s">
        <v>445</v>
      </c>
      <c r="F120" s="19">
        <v>46207</v>
      </c>
      <c r="G120" s="19"/>
      <c r="H120" s="3" t="s">
        <v>1514</v>
      </c>
      <c r="I120" s="3" t="s">
        <v>1406</v>
      </c>
      <c r="J120" s="3" t="s">
        <v>1515</v>
      </c>
      <c r="K120" s="3" t="s">
        <v>1408</v>
      </c>
      <c r="L120" s="3" t="s">
        <v>520</v>
      </c>
      <c r="M120" s="3" t="s">
        <v>533</v>
      </c>
      <c r="N120" s="3" t="s">
        <v>1437</v>
      </c>
      <c r="O120" s="3" t="s">
        <v>442</v>
      </c>
      <c r="P120" s="3" t="s">
        <v>75</v>
      </c>
      <c r="Q120" s="3"/>
      <c r="R120" s="3" t="s">
        <v>448</v>
      </c>
      <c r="S120" s="3" t="s">
        <v>126</v>
      </c>
      <c r="T120" s="3" t="s">
        <v>83</v>
      </c>
      <c r="U120" s="3" t="s">
        <v>1410</v>
      </c>
      <c r="V120" s="3" t="s">
        <v>1411</v>
      </c>
    </row>
    <row r="121" ht="27" spans="1:22">
      <c r="A121" s="3">
        <v>120</v>
      </c>
      <c r="B121" s="3" t="s">
        <v>1230</v>
      </c>
      <c r="C121" s="3" t="s">
        <v>438</v>
      </c>
      <c r="D121" s="3" t="s">
        <v>440</v>
      </c>
      <c r="E121" s="3" t="s">
        <v>445</v>
      </c>
      <c r="F121" s="19">
        <v>46207</v>
      </c>
      <c r="G121" s="19"/>
      <c r="H121" s="3" t="s">
        <v>1516</v>
      </c>
      <c r="I121" s="3" t="s">
        <v>1406</v>
      </c>
      <c r="J121" s="3" t="s">
        <v>1517</v>
      </c>
      <c r="K121" s="3" t="s">
        <v>1408</v>
      </c>
      <c r="L121" s="3" t="s">
        <v>525</v>
      </c>
      <c r="M121" s="3" t="s">
        <v>535</v>
      </c>
      <c r="N121" s="3" t="s">
        <v>1409</v>
      </c>
      <c r="O121" s="3" t="s">
        <v>442</v>
      </c>
      <c r="P121" s="3" t="s">
        <v>75</v>
      </c>
      <c r="Q121" s="3"/>
      <c r="R121" s="3" t="s">
        <v>448</v>
      </c>
      <c r="S121" s="3" t="s">
        <v>126</v>
      </c>
      <c r="T121" s="3" t="s">
        <v>83</v>
      </c>
      <c r="U121" s="3" t="s">
        <v>1410</v>
      </c>
      <c r="V121" s="3" t="s">
        <v>1411</v>
      </c>
    </row>
    <row r="122" ht="27" spans="1:22">
      <c r="A122" s="3">
        <v>121</v>
      </c>
      <c r="B122" s="3" t="s">
        <v>1230</v>
      </c>
      <c r="C122" s="3" t="s">
        <v>438</v>
      </c>
      <c r="D122" s="3" t="s">
        <v>440</v>
      </c>
      <c r="E122" s="3" t="s">
        <v>445</v>
      </c>
      <c r="F122" s="19">
        <v>46207</v>
      </c>
      <c r="G122" s="19"/>
      <c r="H122" s="3" t="s">
        <v>1518</v>
      </c>
      <c r="I122" s="3" t="s">
        <v>1406</v>
      </c>
      <c r="J122" s="3" t="s">
        <v>1519</v>
      </c>
      <c r="K122" s="3" t="s">
        <v>1408</v>
      </c>
      <c r="L122" s="3" t="s">
        <v>520</v>
      </c>
      <c r="M122" s="3" t="s">
        <v>533</v>
      </c>
      <c r="N122" s="3" t="s">
        <v>1437</v>
      </c>
      <c r="O122" s="3" t="s">
        <v>442</v>
      </c>
      <c r="P122" s="3" t="s">
        <v>75</v>
      </c>
      <c r="Q122" s="3"/>
      <c r="R122" s="3" t="s">
        <v>448</v>
      </c>
      <c r="S122" s="3" t="s">
        <v>126</v>
      </c>
      <c r="T122" s="3" t="s">
        <v>83</v>
      </c>
      <c r="U122" s="3" t="s">
        <v>1410</v>
      </c>
      <c r="V122" s="3" t="s">
        <v>1411</v>
      </c>
    </row>
    <row r="123" ht="27" spans="1:22">
      <c r="A123" s="3">
        <v>122</v>
      </c>
      <c r="B123" s="3" t="s">
        <v>1230</v>
      </c>
      <c r="C123" s="3" t="s">
        <v>438</v>
      </c>
      <c r="D123" s="3" t="s">
        <v>440</v>
      </c>
      <c r="E123" s="3" t="s">
        <v>445</v>
      </c>
      <c r="F123" s="19">
        <v>46207</v>
      </c>
      <c r="G123" s="19"/>
      <c r="H123" s="3" t="s">
        <v>1520</v>
      </c>
      <c r="I123" s="3" t="s">
        <v>1406</v>
      </c>
      <c r="J123" s="3" t="s">
        <v>1521</v>
      </c>
      <c r="K123" s="3" t="s">
        <v>1408</v>
      </c>
      <c r="L123" s="3" t="s">
        <v>521</v>
      </c>
      <c r="M123" s="3" t="s">
        <v>535</v>
      </c>
      <c r="N123" s="3" t="s">
        <v>1421</v>
      </c>
      <c r="O123" s="3" t="s">
        <v>442</v>
      </c>
      <c r="P123" s="3" t="s">
        <v>75</v>
      </c>
      <c r="Q123" s="3"/>
      <c r="R123" s="3" t="s">
        <v>448</v>
      </c>
      <c r="S123" s="3" t="s">
        <v>126</v>
      </c>
      <c r="T123" s="3" t="s">
        <v>83</v>
      </c>
      <c r="U123" s="3" t="s">
        <v>1410</v>
      </c>
      <c r="V123" s="3" t="s">
        <v>1411</v>
      </c>
    </row>
    <row r="124" ht="27" spans="1:22">
      <c r="A124" s="3">
        <v>123</v>
      </c>
      <c r="B124" s="3" t="s">
        <v>1230</v>
      </c>
      <c r="C124" s="3" t="s">
        <v>438</v>
      </c>
      <c r="D124" s="3" t="s">
        <v>440</v>
      </c>
      <c r="E124" s="3" t="s">
        <v>445</v>
      </c>
      <c r="F124" s="19">
        <v>46207</v>
      </c>
      <c r="G124" s="19"/>
      <c r="H124" s="3" t="s">
        <v>1522</v>
      </c>
      <c r="I124" s="3" t="s">
        <v>1406</v>
      </c>
      <c r="J124" s="3" t="s">
        <v>1523</v>
      </c>
      <c r="K124" s="3" t="s">
        <v>1408</v>
      </c>
      <c r="L124" s="3" t="s">
        <v>521</v>
      </c>
      <c r="M124" s="3" t="s">
        <v>535</v>
      </c>
      <c r="N124" s="3" t="s">
        <v>1421</v>
      </c>
      <c r="O124" s="3" t="s">
        <v>442</v>
      </c>
      <c r="P124" s="3" t="s">
        <v>75</v>
      </c>
      <c r="Q124" s="3"/>
      <c r="R124" s="3" t="s">
        <v>448</v>
      </c>
      <c r="S124" s="3" t="s">
        <v>126</v>
      </c>
      <c r="T124" s="3" t="s">
        <v>83</v>
      </c>
      <c r="U124" s="3" t="s">
        <v>1410</v>
      </c>
      <c r="V124" s="3" t="s">
        <v>1411</v>
      </c>
    </row>
    <row r="125" ht="27" spans="1:22">
      <c r="A125" s="3">
        <v>124</v>
      </c>
      <c r="B125" s="3" t="s">
        <v>1230</v>
      </c>
      <c r="C125" s="3" t="s">
        <v>438</v>
      </c>
      <c r="D125" s="3" t="s">
        <v>440</v>
      </c>
      <c r="E125" s="3" t="s">
        <v>445</v>
      </c>
      <c r="F125" s="19">
        <v>46207</v>
      </c>
      <c r="G125" s="19"/>
      <c r="H125" s="3" t="s">
        <v>1524</v>
      </c>
      <c r="I125" s="3" t="s">
        <v>1406</v>
      </c>
      <c r="J125" s="3" t="s">
        <v>1525</v>
      </c>
      <c r="K125" s="3" t="s">
        <v>1408</v>
      </c>
      <c r="L125" s="3" t="s">
        <v>527</v>
      </c>
      <c r="M125" s="3" t="s">
        <v>533</v>
      </c>
      <c r="N125" s="3" t="s">
        <v>1416</v>
      </c>
      <c r="O125" s="3" t="s">
        <v>442</v>
      </c>
      <c r="P125" s="3" t="s">
        <v>75</v>
      </c>
      <c r="Q125" s="3"/>
      <c r="R125" s="3" t="s">
        <v>448</v>
      </c>
      <c r="S125" s="3" t="s">
        <v>126</v>
      </c>
      <c r="T125" s="3" t="s">
        <v>83</v>
      </c>
      <c r="U125" s="3" t="s">
        <v>1410</v>
      </c>
      <c r="V125" s="3" t="s">
        <v>1411</v>
      </c>
    </row>
    <row r="126" ht="27" spans="1:22">
      <c r="A126" s="3">
        <v>125</v>
      </c>
      <c r="B126" s="3" t="s">
        <v>1230</v>
      </c>
      <c r="C126" s="3" t="s">
        <v>438</v>
      </c>
      <c r="D126" s="3" t="s">
        <v>440</v>
      </c>
      <c r="E126" s="3" t="s">
        <v>445</v>
      </c>
      <c r="F126" s="19">
        <v>46207</v>
      </c>
      <c r="G126" s="19"/>
      <c r="H126" s="3" t="s">
        <v>1526</v>
      </c>
      <c r="I126" s="3" t="s">
        <v>1406</v>
      </c>
      <c r="J126" s="3" t="s">
        <v>1527</v>
      </c>
      <c r="K126" s="3" t="s">
        <v>1408</v>
      </c>
      <c r="L126" s="3" t="s">
        <v>521</v>
      </c>
      <c r="M126" s="3" t="s">
        <v>535</v>
      </c>
      <c r="N126" s="3" t="s">
        <v>1421</v>
      </c>
      <c r="O126" s="3" t="s">
        <v>442</v>
      </c>
      <c r="P126" s="3" t="s">
        <v>75</v>
      </c>
      <c r="Q126" s="3"/>
      <c r="R126" s="3" t="s">
        <v>448</v>
      </c>
      <c r="S126" s="3" t="s">
        <v>126</v>
      </c>
      <c r="T126" s="3" t="s">
        <v>83</v>
      </c>
      <c r="U126" s="3" t="s">
        <v>1410</v>
      </c>
      <c r="V126" s="3" t="s">
        <v>1411</v>
      </c>
    </row>
    <row r="127" ht="27" spans="1:22">
      <c r="A127" s="3">
        <v>126</v>
      </c>
      <c r="B127" s="3" t="s">
        <v>1230</v>
      </c>
      <c r="C127" s="3" t="s">
        <v>438</v>
      </c>
      <c r="D127" s="3" t="s">
        <v>440</v>
      </c>
      <c r="E127" s="3" t="s">
        <v>445</v>
      </c>
      <c r="F127" s="19">
        <v>46207</v>
      </c>
      <c r="G127" s="19"/>
      <c r="H127" s="3" t="s">
        <v>1528</v>
      </c>
      <c r="I127" s="3" t="s">
        <v>1406</v>
      </c>
      <c r="J127" s="3" t="s">
        <v>1529</v>
      </c>
      <c r="K127" s="3" t="s">
        <v>1408</v>
      </c>
      <c r="L127" s="3" t="s">
        <v>525</v>
      </c>
      <c r="M127" s="3" t="s">
        <v>533</v>
      </c>
      <c r="N127" s="3" t="s">
        <v>1409</v>
      </c>
      <c r="O127" s="3" t="s">
        <v>442</v>
      </c>
      <c r="P127" s="3" t="s">
        <v>75</v>
      </c>
      <c r="Q127" s="3"/>
      <c r="R127" s="3" t="s">
        <v>448</v>
      </c>
      <c r="S127" s="3" t="s">
        <v>126</v>
      </c>
      <c r="T127" s="3" t="s">
        <v>83</v>
      </c>
      <c r="U127" s="3" t="s">
        <v>1410</v>
      </c>
      <c r="V127" s="3" t="s">
        <v>1411</v>
      </c>
    </row>
    <row r="128" ht="27" spans="1:22">
      <c r="A128" s="3">
        <v>127</v>
      </c>
      <c r="B128" s="3" t="s">
        <v>1230</v>
      </c>
      <c r="C128" s="3" t="s">
        <v>438</v>
      </c>
      <c r="D128" s="3" t="s">
        <v>440</v>
      </c>
      <c r="E128" s="3" t="s">
        <v>445</v>
      </c>
      <c r="F128" s="19">
        <v>46207</v>
      </c>
      <c r="G128" s="19"/>
      <c r="H128" s="3" t="s">
        <v>1530</v>
      </c>
      <c r="I128" s="3" t="s">
        <v>1406</v>
      </c>
      <c r="J128" s="3" t="s">
        <v>1531</v>
      </c>
      <c r="K128" s="3" t="s">
        <v>1408</v>
      </c>
      <c r="L128" s="3" t="s">
        <v>525</v>
      </c>
      <c r="M128" s="3" t="s">
        <v>533</v>
      </c>
      <c r="N128" s="3" t="s">
        <v>1409</v>
      </c>
      <c r="O128" s="3" t="s">
        <v>442</v>
      </c>
      <c r="P128" s="3" t="s">
        <v>75</v>
      </c>
      <c r="Q128" s="3"/>
      <c r="R128" s="3" t="s">
        <v>448</v>
      </c>
      <c r="S128" s="3" t="s">
        <v>126</v>
      </c>
      <c r="T128" s="3" t="s">
        <v>83</v>
      </c>
      <c r="U128" s="3" t="s">
        <v>1410</v>
      </c>
      <c r="V128" s="3" t="s">
        <v>1411</v>
      </c>
    </row>
    <row r="129" ht="27" spans="1:22">
      <c r="A129" s="3">
        <v>128</v>
      </c>
      <c r="B129" s="3" t="s">
        <v>1230</v>
      </c>
      <c r="C129" s="3" t="s">
        <v>438</v>
      </c>
      <c r="D129" s="3" t="s">
        <v>440</v>
      </c>
      <c r="E129" s="3" t="s">
        <v>445</v>
      </c>
      <c r="F129" s="19">
        <v>46207</v>
      </c>
      <c r="G129" s="19"/>
      <c r="H129" s="3" t="s">
        <v>1532</v>
      </c>
      <c r="I129" s="3" t="s">
        <v>1406</v>
      </c>
      <c r="J129" s="3" t="s">
        <v>1533</v>
      </c>
      <c r="K129" s="3" t="s">
        <v>1408</v>
      </c>
      <c r="L129" s="3" t="s">
        <v>525</v>
      </c>
      <c r="M129" s="3" t="s">
        <v>533</v>
      </c>
      <c r="N129" s="3" t="s">
        <v>1409</v>
      </c>
      <c r="O129" s="3" t="s">
        <v>442</v>
      </c>
      <c r="P129" s="3" t="s">
        <v>75</v>
      </c>
      <c r="Q129" s="3"/>
      <c r="R129" s="3" t="s">
        <v>448</v>
      </c>
      <c r="S129" s="3" t="s">
        <v>126</v>
      </c>
      <c r="T129" s="3" t="s">
        <v>83</v>
      </c>
      <c r="U129" s="3" t="s">
        <v>1410</v>
      </c>
      <c r="V129" s="3" t="s">
        <v>1411</v>
      </c>
    </row>
    <row r="130" ht="27" spans="1:22">
      <c r="A130" s="3">
        <v>129</v>
      </c>
      <c r="B130" s="3" t="s">
        <v>1230</v>
      </c>
      <c r="C130" s="3" t="s">
        <v>438</v>
      </c>
      <c r="D130" s="3" t="s">
        <v>440</v>
      </c>
      <c r="E130" s="3" t="s">
        <v>445</v>
      </c>
      <c r="F130" s="19">
        <v>46207</v>
      </c>
      <c r="G130" s="19"/>
      <c r="H130" s="3" t="s">
        <v>1534</v>
      </c>
      <c r="I130" s="3" t="s">
        <v>1406</v>
      </c>
      <c r="J130" s="3" t="s">
        <v>1535</v>
      </c>
      <c r="K130" s="3" t="s">
        <v>1408</v>
      </c>
      <c r="L130" s="3" t="s">
        <v>525</v>
      </c>
      <c r="M130" s="3" t="s">
        <v>533</v>
      </c>
      <c r="N130" s="3" t="s">
        <v>1409</v>
      </c>
      <c r="O130" s="3" t="s">
        <v>442</v>
      </c>
      <c r="P130" s="3" t="s">
        <v>75</v>
      </c>
      <c r="Q130" s="3"/>
      <c r="R130" s="3" t="s">
        <v>448</v>
      </c>
      <c r="S130" s="3" t="s">
        <v>126</v>
      </c>
      <c r="T130" s="3" t="s">
        <v>83</v>
      </c>
      <c r="U130" s="3" t="s">
        <v>1410</v>
      </c>
      <c r="V130" s="3" t="s">
        <v>1411</v>
      </c>
    </row>
    <row r="131" ht="27" spans="1:22">
      <c r="A131" s="3">
        <v>130</v>
      </c>
      <c r="B131" s="3" t="s">
        <v>1230</v>
      </c>
      <c r="C131" s="3" t="s">
        <v>438</v>
      </c>
      <c r="D131" s="3" t="s">
        <v>440</v>
      </c>
      <c r="E131" s="3" t="s">
        <v>445</v>
      </c>
      <c r="F131" s="19">
        <v>46207</v>
      </c>
      <c r="G131" s="19"/>
      <c r="H131" s="3" t="s">
        <v>1536</v>
      </c>
      <c r="I131" s="3" t="s">
        <v>1406</v>
      </c>
      <c r="J131" s="3" t="s">
        <v>1537</v>
      </c>
      <c r="K131" s="3" t="s">
        <v>1408</v>
      </c>
      <c r="L131" s="3" t="s">
        <v>525</v>
      </c>
      <c r="M131" s="3" t="s">
        <v>535</v>
      </c>
      <c r="N131" s="3" t="s">
        <v>1409</v>
      </c>
      <c r="O131" s="3" t="s">
        <v>442</v>
      </c>
      <c r="P131" s="3" t="s">
        <v>75</v>
      </c>
      <c r="Q131" s="3"/>
      <c r="R131" s="3" t="s">
        <v>448</v>
      </c>
      <c r="S131" s="3" t="s">
        <v>126</v>
      </c>
      <c r="T131" s="3" t="s">
        <v>83</v>
      </c>
      <c r="U131" s="3" t="s">
        <v>1410</v>
      </c>
      <c r="V131" s="3" t="s">
        <v>1411</v>
      </c>
    </row>
    <row r="132" ht="27" spans="1:22">
      <c r="A132" s="3">
        <v>131</v>
      </c>
      <c r="B132" s="3" t="s">
        <v>1230</v>
      </c>
      <c r="C132" s="3" t="s">
        <v>438</v>
      </c>
      <c r="D132" s="3" t="s">
        <v>440</v>
      </c>
      <c r="E132" s="3" t="s">
        <v>445</v>
      </c>
      <c r="F132" s="19">
        <v>46207</v>
      </c>
      <c r="G132" s="19"/>
      <c r="H132" s="3" t="s">
        <v>1538</v>
      </c>
      <c r="I132" s="3" t="s">
        <v>1406</v>
      </c>
      <c r="J132" s="3" t="s">
        <v>1539</v>
      </c>
      <c r="K132" s="3" t="s">
        <v>1408</v>
      </c>
      <c r="L132" s="3" t="s">
        <v>516</v>
      </c>
      <c r="M132" s="3" t="s">
        <v>535</v>
      </c>
      <c r="N132" s="3" t="s">
        <v>1454</v>
      </c>
      <c r="O132" s="3" t="s">
        <v>442</v>
      </c>
      <c r="P132" s="3" t="s">
        <v>75</v>
      </c>
      <c r="Q132" s="3"/>
      <c r="R132" s="3" t="s">
        <v>448</v>
      </c>
      <c r="S132" s="3" t="s">
        <v>126</v>
      </c>
      <c r="T132" s="3" t="s">
        <v>83</v>
      </c>
      <c r="U132" s="3" t="s">
        <v>1455</v>
      </c>
      <c r="V132" s="3" t="s">
        <v>1456</v>
      </c>
    </row>
    <row r="133" ht="27" spans="1:22">
      <c r="A133" s="3">
        <v>132</v>
      </c>
      <c r="B133" s="3" t="s">
        <v>1230</v>
      </c>
      <c r="C133" s="3" t="s">
        <v>438</v>
      </c>
      <c r="D133" s="3" t="s">
        <v>440</v>
      </c>
      <c r="E133" s="3" t="s">
        <v>445</v>
      </c>
      <c r="F133" s="19">
        <v>46207</v>
      </c>
      <c r="G133" s="19"/>
      <c r="H133" s="3" t="s">
        <v>1540</v>
      </c>
      <c r="I133" s="3" t="s">
        <v>1406</v>
      </c>
      <c r="J133" s="3" t="s">
        <v>1541</v>
      </c>
      <c r="K133" s="3" t="s">
        <v>1408</v>
      </c>
      <c r="L133" s="3" t="s">
        <v>527</v>
      </c>
      <c r="M133" s="3" t="s">
        <v>535</v>
      </c>
      <c r="N133" s="3" t="s">
        <v>1416</v>
      </c>
      <c r="O133" s="3" t="s">
        <v>442</v>
      </c>
      <c r="P133" s="3" t="s">
        <v>75</v>
      </c>
      <c r="Q133" s="3"/>
      <c r="R133" s="3" t="s">
        <v>448</v>
      </c>
      <c r="S133" s="3" t="s">
        <v>126</v>
      </c>
      <c r="T133" s="3" t="s">
        <v>83</v>
      </c>
      <c r="U133" s="3" t="s">
        <v>1410</v>
      </c>
      <c r="V133" s="3" t="s">
        <v>1411</v>
      </c>
    </row>
    <row r="134" ht="27" spans="1:22">
      <c r="A134" s="3">
        <v>133</v>
      </c>
      <c r="B134" s="3" t="s">
        <v>1230</v>
      </c>
      <c r="C134" s="3" t="s">
        <v>438</v>
      </c>
      <c r="D134" s="3" t="s">
        <v>440</v>
      </c>
      <c r="E134" s="3" t="s">
        <v>445</v>
      </c>
      <c r="F134" s="19">
        <v>46207</v>
      </c>
      <c r="G134" s="19"/>
      <c r="H134" s="3" t="s">
        <v>1542</v>
      </c>
      <c r="I134" s="3" t="s">
        <v>1406</v>
      </c>
      <c r="J134" s="3" t="s">
        <v>1543</v>
      </c>
      <c r="K134" s="3" t="s">
        <v>1408</v>
      </c>
      <c r="L134" s="3" t="s">
        <v>521</v>
      </c>
      <c r="M134" s="3" t="s">
        <v>535</v>
      </c>
      <c r="N134" s="3" t="s">
        <v>1421</v>
      </c>
      <c r="O134" s="3" t="s">
        <v>442</v>
      </c>
      <c r="P134" s="3" t="s">
        <v>75</v>
      </c>
      <c r="Q134" s="3"/>
      <c r="R134" s="3" t="s">
        <v>448</v>
      </c>
      <c r="S134" s="3" t="s">
        <v>126</v>
      </c>
      <c r="T134" s="3" t="s">
        <v>83</v>
      </c>
      <c r="U134" s="3" t="s">
        <v>1410</v>
      </c>
      <c r="V134" s="3" t="s">
        <v>1411</v>
      </c>
    </row>
    <row r="135" ht="27" spans="1:22">
      <c r="A135" s="3">
        <v>134</v>
      </c>
      <c r="B135" s="3" t="s">
        <v>1230</v>
      </c>
      <c r="C135" s="3" t="s">
        <v>438</v>
      </c>
      <c r="D135" s="3" t="s">
        <v>440</v>
      </c>
      <c r="E135" s="3" t="s">
        <v>445</v>
      </c>
      <c r="F135" s="19">
        <v>46207</v>
      </c>
      <c r="G135" s="19"/>
      <c r="H135" s="3" t="s">
        <v>1544</v>
      </c>
      <c r="I135" s="3" t="s">
        <v>1406</v>
      </c>
      <c r="J135" s="3" t="s">
        <v>1545</v>
      </c>
      <c r="K135" s="3" t="s">
        <v>1408</v>
      </c>
      <c r="L135" s="3" t="s">
        <v>521</v>
      </c>
      <c r="M135" s="3" t="s">
        <v>535</v>
      </c>
      <c r="N135" s="3" t="s">
        <v>1421</v>
      </c>
      <c r="O135" s="3" t="s">
        <v>442</v>
      </c>
      <c r="P135" s="3" t="s">
        <v>75</v>
      </c>
      <c r="Q135" s="3"/>
      <c r="R135" s="3" t="s">
        <v>448</v>
      </c>
      <c r="S135" s="3" t="s">
        <v>126</v>
      </c>
      <c r="T135" s="3" t="s">
        <v>83</v>
      </c>
      <c r="U135" s="3" t="s">
        <v>1410</v>
      </c>
      <c r="V135" s="3" t="s">
        <v>1411</v>
      </c>
    </row>
    <row r="136" ht="27" spans="1:22">
      <c r="A136" s="3">
        <v>135</v>
      </c>
      <c r="B136" s="3" t="s">
        <v>1230</v>
      </c>
      <c r="C136" s="3" t="s">
        <v>438</v>
      </c>
      <c r="D136" s="3" t="s">
        <v>440</v>
      </c>
      <c r="E136" s="3" t="s">
        <v>445</v>
      </c>
      <c r="F136" s="19">
        <v>46207</v>
      </c>
      <c r="G136" s="19"/>
      <c r="H136" s="3" t="s">
        <v>1546</v>
      </c>
      <c r="I136" s="3" t="s">
        <v>1406</v>
      </c>
      <c r="J136" s="3" t="s">
        <v>1547</v>
      </c>
      <c r="K136" s="3" t="s">
        <v>1408</v>
      </c>
      <c r="L136" s="3" t="s">
        <v>527</v>
      </c>
      <c r="M136" s="3" t="s">
        <v>533</v>
      </c>
      <c r="N136" s="3" t="s">
        <v>1416</v>
      </c>
      <c r="O136" s="3" t="s">
        <v>442</v>
      </c>
      <c r="P136" s="3" t="s">
        <v>75</v>
      </c>
      <c r="Q136" s="3"/>
      <c r="R136" s="3" t="s">
        <v>448</v>
      </c>
      <c r="S136" s="3" t="s">
        <v>126</v>
      </c>
      <c r="T136" s="3" t="s">
        <v>83</v>
      </c>
      <c r="U136" s="3" t="s">
        <v>1410</v>
      </c>
      <c r="V136" s="3" t="s">
        <v>1411</v>
      </c>
    </row>
    <row r="137" ht="27" spans="1:22">
      <c r="A137" s="3">
        <v>136</v>
      </c>
      <c r="B137" s="3" t="s">
        <v>1230</v>
      </c>
      <c r="C137" s="3" t="s">
        <v>438</v>
      </c>
      <c r="D137" s="3" t="s">
        <v>440</v>
      </c>
      <c r="E137" s="3" t="s">
        <v>445</v>
      </c>
      <c r="F137" s="19">
        <v>46207</v>
      </c>
      <c r="G137" s="19"/>
      <c r="H137" s="3" t="s">
        <v>1548</v>
      </c>
      <c r="I137" s="3" t="s">
        <v>1406</v>
      </c>
      <c r="J137" s="3" t="s">
        <v>1549</v>
      </c>
      <c r="K137" s="3" t="s">
        <v>1408</v>
      </c>
      <c r="L137" s="3" t="s">
        <v>521</v>
      </c>
      <c r="M137" s="3" t="s">
        <v>533</v>
      </c>
      <c r="N137" s="3" t="s">
        <v>1421</v>
      </c>
      <c r="O137" s="3" t="s">
        <v>442</v>
      </c>
      <c r="P137" s="3" t="s">
        <v>75</v>
      </c>
      <c r="Q137" s="3"/>
      <c r="R137" s="3" t="s">
        <v>448</v>
      </c>
      <c r="S137" s="3" t="s">
        <v>126</v>
      </c>
      <c r="T137" s="3" t="s">
        <v>83</v>
      </c>
      <c r="U137" s="3" t="s">
        <v>1410</v>
      </c>
      <c r="V137" s="3" t="s">
        <v>1411</v>
      </c>
    </row>
    <row r="138" ht="27" spans="1:22">
      <c r="A138" s="3">
        <v>137</v>
      </c>
      <c r="B138" s="3" t="s">
        <v>1230</v>
      </c>
      <c r="C138" s="3" t="s">
        <v>438</v>
      </c>
      <c r="D138" s="3" t="s">
        <v>440</v>
      </c>
      <c r="E138" s="3" t="s">
        <v>445</v>
      </c>
      <c r="F138" s="19">
        <v>46207</v>
      </c>
      <c r="G138" s="19"/>
      <c r="H138" s="3" t="s">
        <v>1550</v>
      </c>
      <c r="I138" s="3" t="s">
        <v>1406</v>
      </c>
      <c r="J138" s="3" t="s">
        <v>1551</v>
      </c>
      <c r="K138" s="3" t="s">
        <v>1408</v>
      </c>
      <c r="L138" s="3" t="s">
        <v>521</v>
      </c>
      <c r="M138" s="3" t="s">
        <v>535</v>
      </c>
      <c r="N138" s="3" t="s">
        <v>1421</v>
      </c>
      <c r="O138" s="3" t="s">
        <v>442</v>
      </c>
      <c r="P138" s="3" t="s">
        <v>75</v>
      </c>
      <c r="Q138" s="3"/>
      <c r="R138" s="3" t="s">
        <v>448</v>
      </c>
      <c r="S138" s="3" t="s">
        <v>126</v>
      </c>
      <c r="T138" s="3" t="s">
        <v>83</v>
      </c>
      <c r="U138" s="3" t="s">
        <v>1410</v>
      </c>
      <c r="V138" s="3" t="s">
        <v>1411</v>
      </c>
    </row>
    <row r="139" ht="27" spans="1:22">
      <c r="A139" s="3">
        <v>138</v>
      </c>
      <c r="B139" s="3" t="s">
        <v>1230</v>
      </c>
      <c r="C139" s="3" t="s">
        <v>438</v>
      </c>
      <c r="D139" s="3" t="s">
        <v>440</v>
      </c>
      <c r="E139" s="3" t="s">
        <v>445</v>
      </c>
      <c r="F139" s="19">
        <v>46207</v>
      </c>
      <c r="G139" s="19"/>
      <c r="H139" s="3" t="s">
        <v>1552</v>
      </c>
      <c r="I139" s="3" t="s">
        <v>1406</v>
      </c>
      <c r="J139" s="3" t="s">
        <v>1553</v>
      </c>
      <c r="K139" s="3" t="s">
        <v>1408</v>
      </c>
      <c r="L139" s="3" t="s">
        <v>520</v>
      </c>
      <c r="M139" s="3" t="s">
        <v>533</v>
      </c>
      <c r="N139" s="3" t="s">
        <v>1437</v>
      </c>
      <c r="O139" s="3" t="s">
        <v>442</v>
      </c>
      <c r="P139" s="3" t="s">
        <v>75</v>
      </c>
      <c r="Q139" s="3"/>
      <c r="R139" s="3" t="s">
        <v>448</v>
      </c>
      <c r="S139" s="3" t="s">
        <v>126</v>
      </c>
      <c r="T139" s="3" t="s">
        <v>83</v>
      </c>
      <c r="U139" s="3" t="s">
        <v>1410</v>
      </c>
      <c r="V139" s="3" t="s">
        <v>1411</v>
      </c>
    </row>
    <row r="140" ht="40.5" spans="1:22">
      <c r="A140" s="3">
        <v>139</v>
      </c>
      <c r="B140" s="3" t="s">
        <v>1230</v>
      </c>
      <c r="C140" s="3" t="s">
        <v>438</v>
      </c>
      <c r="D140" s="3" t="s">
        <v>440</v>
      </c>
      <c r="E140" s="3" t="s">
        <v>445</v>
      </c>
      <c r="F140" s="19">
        <v>46207</v>
      </c>
      <c r="G140" s="19"/>
      <c r="H140" s="3" t="s">
        <v>1554</v>
      </c>
      <c r="I140" s="3" t="s">
        <v>1406</v>
      </c>
      <c r="J140" s="3" t="s">
        <v>1555</v>
      </c>
      <c r="K140" s="3" t="s">
        <v>1556</v>
      </c>
      <c r="L140" s="3" t="s">
        <v>1365</v>
      </c>
      <c r="M140" s="3" t="s">
        <v>535</v>
      </c>
      <c r="N140" s="3" t="s">
        <v>1557</v>
      </c>
      <c r="O140" s="3" t="s">
        <v>442</v>
      </c>
      <c r="P140" s="3" t="s">
        <v>1558</v>
      </c>
      <c r="Q140" s="3"/>
      <c r="R140" s="3" t="s">
        <v>448</v>
      </c>
      <c r="S140" s="3" t="s">
        <v>83</v>
      </c>
      <c r="T140" s="3" t="s">
        <v>83</v>
      </c>
      <c r="U140" s="3" t="s">
        <v>1559</v>
      </c>
      <c r="V140" s="3" t="s">
        <v>1560</v>
      </c>
    </row>
    <row r="141" ht="27" spans="1:22">
      <c r="A141" s="3">
        <v>140</v>
      </c>
      <c r="B141" s="3" t="s">
        <v>1230</v>
      </c>
      <c r="C141" s="3" t="s">
        <v>438</v>
      </c>
      <c r="D141" s="3" t="s">
        <v>440</v>
      </c>
      <c r="E141" s="3" t="s">
        <v>445</v>
      </c>
      <c r="F141" s="19">
        <v>46207</v>
      </c>
      <c r="G141" s="19"/>
      <c r="H141" s="3" t="s">
        <v>1561</v>
      </c>
      <c r="I141" s="3" t="s">
        <v>1406</v>
      </c>
      <c r="J141" s="3" t="s">
        <v>1562</v>
      </c>
      <c r="K141" s="3" t="s">
        <v>1408</v>
      </c>
      <c r="L141" s="3" t="s">
        <v>525</v>
      </c>
      <c r="M141" s="3" t="s">
        <v>535</v>
      </c>
      <c r="N141" s="3" t="s">
        <v>1409</v>
      </c>
      <c r="O141" s="3" t="s">
        <v>442</v>
      </c>
      <c r="P141" s="3" t="s">
        <v>75</v>
      </c>
      <c r="Q141" s="3"/>
      <c r="R141" s="3" t="s">
        <v>448</v>
      </c>
      <c r="S141" s="3" t="s">
        <v>126</v>
      </c>
      <c r="T141" s="3" t="s">
        <v>83</v>
      </c>
      <c r="U141" s="3" t="s">
        <v>1410</v>
      </c>
      <c r="V141" s="3" t="s">
        <v>1411</v>
      </c>
    </row>
    <row r="142" ht="27" spans="1:22">
      <c r="A142" s="3">
        <v>141</v>
      </c>
      <c r="B142" s="3" t="s">
        <v>1230</v>
      </c>
      <c r="C142" s="3" t="s">
        <v>438</v>
      </c>
      <c r="D142" s="3" t="s">
        <v>440</v>
      </c>
      <c r="E142" s="3" t="s">
        <v>445</v>
      </c>
      <c r="F142" s="19">
        <v>46207</v>
      </c>
      <c r="G142" s="19"/>
      <c r="H142" s="3" t="s">
        <v>1563</v>
      </c>
      <c r="I142" s="3" t="s">
        <v>1406</v>
      </c>
      <c r="J142" s="3" t="s">
        <v>1564</v>
      </c>
      <c r="K142" s="3" t="s">
        <v>1408</v>
      </c>
      <c r="L142" s="3" t="s">
        <v>518</v>
      </c>
      <c r="M142" s="3" t="s">
        <v>533</v>
      </c>
      <c r="N142" s="3" t="s">
        <v>1469</v>
      </c>
      <c r="O142" s="3" t="s">
        <v>442</v>
      </c>
      <c r="P142" s="3" t="s">
        <v>75</v>
      </c>
      <c r="Q142" s="3"/>
      <c r="R142" s="3" t="s">
        <v>448</v>
      </c>
      <c r="S142" s="3" t="s">
        <v>126</v>
      </c>
      <c r="T142" s="3" t="s">
        <v>83</v>
      </c>
      <c r="U142" s="3" t="s">
        <v>1410</v>
      </c>
      <c r="V142" s="3" t="s">
        <v>1411</v>
      </c>
    </row>
    <row r="143" ht="27" spans="1:22">
      <c r="A143" s="3">
        <v>142</v>
      </c>
      <c r="B143" s="3" t="s">
        <v>1230</v>
      </c>
      <c r="C143" s="3" t="s">
        <v>438</v>
      </c>
      <c r="D143" s="3" t="s">
        <v>440</v>
      </c>
      <c r="E143" s="3" t="s">
        <v>445</v>
      </c>
      <c r="F143" s="19">
        <v>46207</v>
      </c>
      <c r="G143" s="19"/>
      <c r="H143" s="3" t="s">
        <v>1565</v>
      </c>
      <c r="I143" s="3" t="s">
        <v>1406</v>
      </c>
      <c r="J143" s="3" t="s">
        <v>1566</v>
      </c>
      <c r="K143" s="3" t="s">
        <v>1408</v>
      </c>
      <c r="L143" s="3" t="s">
        <v>521</v>
      </c>
      <c r="M143" s="3" t="s">
        <v>535</v>
      </c>
      <c r="N143" s="3" t="s">
        <v>1421</v>
      </c>
      <c r="O143" s="3" t="s">
        <v>442</v>
      </c>
      <c r="P143" s="3" t="s">
        <v>75</v>
      </c>
      <c r="Q143" s="3"/>
      <c r="R143" s="3" t="s">
        <v>448</v>
      </c>
      <c r="S143" s="3" t="s">
        <v>126</v>
      </c>
      <c r="T143" s="3" t="s">
        <v>83</v>
      </c>
      <c r="U143" s="3" t="s">
        <v>1410</v>
      </c>
      <c r="V143" s="3" t="s">
        <v>1411</v>
      </c>
    </row>
    <row r="144" ht="27" spans="1:22">
      <c r="A144" s="3">
        <v>143</v>
      </c>
      <c r="B144" s="3" t="s">
        <v>1230</v>
      </c>
      <c r="C144" s="3" t="s">
        <v>438</v>
      </c>
      <c r="D144" s="3" t="s">
        <v>440</v>
      </c>
      <c r="E144" s="3" t="s">
        <v>445</v>
      </c>
      <c r="F144" s="19">
        <v>46207</v>
      </c>
      <c r="G144" s="19"/>
      <c r="H144" s="3" t="s">
        <v>1567</v>
      </c>
      <c r="I144" s="3" t="s">
        <v>1406</v>
      </c>
      <c r="J144" s="3" t="s">
        <v>1568</v>
      </c>
      <c r="K144" s="3" t="s">
        <v>1408</v>
      </c>
      <c r="L144" s="3" t="s">
        <v>516</v>
      </c>
      <c r="M144" s="3" t="s">
        <v>535</v>
      </c>
      <c r="N144" s="3" t="s">
        <v>1454</v>
      </c>
      <c r="O144" s="3" t="s">
        <v>442</v>
      </c>
      <c r="P144" s="3" t="s">
        <v>75</v>
      </c>
      <c r="Q144" s="3"/>
      <c r="R144" s="3" t="s">
        <v>448</v>
      </c>
      <c r="S144" s="3" t="s">
        <v>126</v>
      </c>
      <c r="T144" s="3" t="s">
        <v>83</v>
      </c>
      <c r="U144" s="3" t="s">
        <v>1455</v>
      </c>
      <c r="V144" s="3" t="s">
        <v>1456</v>
      </c>
    </row>
    <row r="145" ht="27" spans="1:22">
      <c r="A145" s="3">
        <v>144</v>
      </c>
      <c r="B145" s="3" t="s">
        <v>1230</v>
      </c>
      <c r="C145" s="3" t="s">
        <v>438</v>
      </c>
      <c r="D145" s="3" t="s">
        <v>440</v>
      </c>
      <c r="E145" s="3" t="s">
        <v>445</v>
      </c>
      <c r="F145" s="19">
        <v>46207</v>
      </c>
      <c r="G145" s="19"/>
      <c r="H145" s="3" t="s">
        <v>1569</v>
      </c>
      <c r="I145" s="3" t="s">
        <v>1406</v>
      </c>
      <c r="J145" s="3" t="s">
        <v>1570</v>
      </c>
      <c r="K145" s="3" t="s">
        <v>1408</v>
      </c>
      <c r="L145" s="3" t="s">
        <v>518</v>
      </c>
      <c r="M145" s="3" t="s">
        <v>533</v>
      </c>
      <c r="N145" s="3" t="s">
        <v>1469</v>
      </c>
      <c r="O145" s="3" t="s">
        <v>442</v>
      </c>
      <c r="P145" s="3" t="s">
        <v>75</v>
      </c>
      <c r="Q145" s="3"/>
      <c r="R145" s="3" t="s">
        <v>448</v>
      </c>
      <c r="S145" s="3" t="s">
        <v>126</v>
      </c>
      <c r="T145" s="3" t="s">
        <v>83</v>
      </c>
      <c r="U145" s="3" t="s">
        <v>1410</v>
      </c>
      <c r="V145" s="3" t="s">
        <v>1411</v>
      </c>
    </row>
    <row r="146" ht="27" spans="1:22">
      <c r="A146" s="3">
        <v>145</v>
      </c>
      <c r="B146" s="3" t="s">
        <v>1230</v>
      </c>
      <c r="C146" s="3" t="s">
        <v>438</v>
      </c>
      <c r="D146" s="3" t="s">
        <v>440</v>
      </c>
      <c r="E146" s="3" t="s">
        <v>445</v>
      </c>
      <c r="F146" s="19">
        <v>46207</v>
      </c>
      <c r="G146" s="19"/>
      <c r="H146" s="3" t="s">
        <v>1571</v>
      </c>
      <c r="I146" s="3" t="s">
        <v>1406</v>
      </c>
      <c r="J146" s="3" t="s">
        <v>1572</v>
      </c>
      <c r="K146" s="3" t="s">
        <v>1408</v>
      </c>
      <c r="L146" s="3" t="s">
        <v>516</v>
      </c>
      <c r="M146" s="3" t="s">
        <v>535</v>
      </c>
      <c r="N146" s="3" t="s">
        <v>1454</v>
      </c>
      <c r="O146" s="3" t="s">
        <v>442</v>
      </c>
      <c r="P146" s="3" t="s">
        <v>75</v>
      </c>
      <c r="Q146" s="3"/>
      <c r="R146" s="3" t="s">
        <v>448</v>
      </c>
      <c r="S146" s="3" t="s">
        <v>126</v>
      </c>
      <c r="T146" s="3" t="s">
        <v>83</v>
      </c>
      <c r="U146" s="3" t="s">
        <v>1455</v>
      </c>
      <c r="V146" s="3" t="s">
        <v>1456</v>
      </c>
    </row>
    <row r="147" ht="27" spans="1:22">
      <c r="A147" s="3">
        <v>146</v>
      </c>
      <c r="B147" s="3" t="s">
        <v>1230</v>
      </c>
      <c r="C147" s="3" t="s">
        <v>438</v>
      </c>
      <c r="D147" s="3" t="s">
        <v>440</v>
      </c>
      <c r="E147" s="3" t="s">
        <v>445</v>
      </c>
      <c r="F147" s="19">
        <v>46207</v>
      </c>
      <c r="G147" s="19"/>
      <c r="H147" s="3" t="s">
        <v>1573</v>
      </c>
      <c r="I147" s="3" t="s">
        <v>1406</v>
      </c>
      <c r="J147" s="3" t="s">
        <v>1574</v>
      </c>
      <c r="K147" s="3" t="s">
        <v>1408</v>
      </c>
      <c r="L147" s="3" t="s">
        <v>525</v>
      </c>
      <c r="M147" s="3" t="s">
        <v>535</v>
      </c>
      <c r="N147" s="3" t="s">
        <v>1409</v>
      </c>
      <c r="O147" s="3" t="s">
        <v>442</v>
      </c>
      <c r="P147" s="3" t="s">
        <v>75</v>
      </c>
      <c r="Q147" s="3"/>
      <c r="R147" s="3" t="s">
        <v>448</v>
      </c>
      <c r="S147" s="3" t="s">
        <v>126</v>
      </c>
      <c r="T147" s="3" t="s">
        <v>83</v>
      </c>
      <c r="U147" s="3" t="s">
        <v>1410</v>
      </c>
      <c r="V147" s="3" t="s">
        <v>1411</v>
      </c>
    </row>
    <row r="148" ht="27" spans="1:22">
      <c r="A148" s="3">
        <v>147</v>
      </c>
      <c r="B148" s="3" t="s">
        <v>1230</v>
      </c>
      <c r="C148" s="3" t="s">
        <v>438</v>
      </c>
      <c r="D148" s="3" t="s">
        <v>440</v>
      </c>
      <c r="E148" s="3" t="s">
        <v>445</v>
      </c>
      <c r="F148" s="19">
        <v>46207</v>
      </c>
      <c r="G148" s="19"/>
      <c r="H148" s="3" t="s">
        <v>1575</v>
      </c>
      <c r="I148" s="3" t="s">
        <v>1406</v>
      </c>
      <c r="J148" s="3" t="s">
        <v>1576</v>
      </c>
      <c r="K148" s="3" t="s">
        <v>1408</v>
      </c>
      <c r="L148" s="3" t="s">
        <v>527</v>
      </c>
      <c r="M148" s="3" t="s">
        <v>533</v>
      </c>
      <c r="N148" s="3" t="s">
        <v>1416</v>
      </c>
      <c r="O148" s="3" t="s">
        <v>442</v>
      </c>
      <c r="P148" s="3" t="s">
        <v>75</v>
      </c>
      <c r="Q148" s="3"/>
      <c r="R148" s="3" t="s">
        <v>448</v>
      </c>
      <c r="S148" s="3" t="s">
        <v>126</v>
      </c>
      <c r="T148" s="3" t="s">
        <v>83</v>
      </c>
      <c r="U148" s="3" t="s">
        <v>1410</v>
      </c>
      <c r="V148" s="3" t="s">
        <v>1411</v>
      </c>
    </row>
    <row r="149" ht="27" spans="1:22">
      <c r="A149" s="3">
        <v>148</v>
      </c>
      <c r="B149" s="3" t="s">
        <v>1230</v>
      </c>
      <c r="C149" s="3" t="s">
        <v>438</v>
      </c>
      <c r="D149" s="3" t="s">
        <v>440</v>
      </c>
      <c r="E149" s="3" t="s">
        <v>445</v>
      </c>
      <c r="F149" s="19">
        <v>46207</v>
      </c>
      <c r="G149" s="19"/>
      <c r="H149" s="3" t="s">
        <v>1577</v>
      </c>
      <c r="I149" s="3" t="s">
        <v>1406</v>
      </c>
      <c r="J149" s="3" t="s">
        <v>1578</v>
      </c>
      <c r="K149" s="3" t="s">
        <v>1408</v>
      </c>
      <c r="L149" s="3" t="s">
        <v>527</v>
      </c>
      <c r="M149" s="3" t="s">
        <v>533</v>
      </c>
      <c r="N149" s="3" t="s">
        <v>1416</v>
      </c>
      <c r="O149" s="3" t="s">
        <v>442</v>
      </c>
      <c r="P149" s="3" t="s">
        <v>75</v>
      </c>
      <c r="Q149" s="3"/>
      <c r="R149" s="3" t="s">
        <v>448</v>
      </c>
      <c r="S149" s="3" t="s">
        <v>126</v>
      </c>
      <c r="T149" s="3" t="s">
        <v>83</v>
      </c>
      <c r="U149" s="3" t="s">
        <v>1410</v>
      </c>
      <c r="V149" s="3" t="s">
        <v>1411</v>
      </c>
    </row>
    <row r="150" ht="27" spans="1:22">
      <c r="A150" s="3">
        <v>149</v>
      </c>
      <c r="B150" s="3" t="s">
        <v>1230</v>
      </c>
      <c r="C150" s="3" t="s">
        <v>438</v>
      </c>
      <c r="D150" s="3" t="s">
        <v>440</v>
      </c>
      <c r="E150" s="3" t="s">
        <v>445</v>
      </c>
      <c r="F150" s="19">
        <v>46207</v>
      </c>
      <c r="G150" s="19"/>
      <c r="H150" s="3" t="s">
        <v>1579</v>
      </c>
      <c r="I150" s="3" t="s">
        <v>1406</v>
      </c>
      <c r="J150" s="3" t="s">
        <v>1580</v>
      </c>
      <c r="K150" s="3" t="s">
        <v>1408</v>
      </c>
      <c r="L150" s="3" t="s">
        <v>521</v>
      </c>
      <c r="M150" s="3" t="s">
        <v>535</v>
      </c>
      <c r="N150" s="3" t="s">
        <v>1421</v>
      </c>
      <c r="O150" s="3" t="s">
        <v>442</v>
      </c>
      <c r="P150" s="3" t="s">
        <v>75</v>
      </c>
      <c r="Q150" s="3"/>
      <c r="R150" s="3" t="s">
        <v>448</v>
      </c>
      <c r="S150" s="3" t="s">
        <v>126</v>
      </c>
      <c r="T150" s="3" t="s">
        <v>83</v>
      </c>
      <c r="U150" s="3" t="s">
        <v>1410</v>
      </c>
      <c r="V150" s="3" t="s">
        <v>1411</v>
      </c>
    </row>
    <row r="151" ht="27" spans="1:22">
      <c r="A151" s="3">
        <v>150</v>
      </c>
      <c r="B151" s="3" t="s">
        <v>1230</v>
      </c>
      <c r="C151" s="3" t="s">
        <v>438</v>
      </c>
      <c r="D151" s="3" t="s">
        <v>440</v>
      </c>
      <c r="E151" s="3" t="s">
        <v>445</v>
      </c>
      <c r="F151" s="19">
        <v>46207</v>
      </c>
      <c r="G151" s="19"/>
      <c r="H151" s="3" t="s">
        <v>1581</v>
      </c>
      <c r="I151" s="3" t="s">
        <v>1406</v>
      </c>
      <c r="J151" s="3" t="s">
        <v>1582</v>
      </c>
      <c r="K151" s="3" t="s">
        <v>1408</v>
      </c>
      <c r="L151" s="3" t="s">
        <v>516</v>
      </c>
      <c r="M151" s="3" t="s">
        <v>535</v>
      </c>
      <c r="N151" s="3" t="s">
        <v>1454</v>
      </c>
      <c r="O151" s="3" t="s">
        <v>442</v>
      </c>
      <c r="P151" s="3" t="s">
        <v>75</v>
      </c>
      <c r="Q151" s="3"/>
      <c r="R151" s="3" t="s">
        <v>448</v>
      </c>
      <c r="S151" s="3" t="s">
        <v>126</v>
      </c>
      <c r="T151" s="3" t="s">
        <v>83</v>
      </c>
      <c r="U151" s="3" t="s">
        <v>1455</v>
      </c>
      <c r="V151" s="3" t="s">
        <v>1456</v>
      </c>
    </row>
    <row r="152" ht="27" spans="1:22">
      <c r="A152" s="3">
        <v>151</v>
      </c>
      <c r="B152" s="3" t="s">
        <v>1230</v>
      </c>
      <c r="C152" s="3" t="s">
        <v>438</v>
      </c>
      <c r="D152" s="3" t="s">
        <v>440</v>
      </c>
      <c r="E152" s="3" t="s">
        <v>445</v>
      </c>
      <c r="F152" s="19">
        <v>46207</v>
      </c>
      <c r="G152" s="19"/>
      <c r="H152" s="3" t="s">
        <v>1583</v>
      </c>
      <c r="I152" s="3" t="s">
        <v>1406</v>
      </c>
      <c r="J152" s="3" t="s">
        <v>1584</v>
      </c>
      <c r="K152" s="3" t="s">
        <v>1408</v>
      </c>
      <c r="L152" s="3" t="s">
        <v>521</v>
      </c>
      <c r="M152" s="3" t="s">
        <v>535</v>
      </c>
      <c r="N152" s="3" t="s">
        <v>1421</v>
      </c>
      <c r="O152" s="3" t="s">
        <v>442</v>
      </c>
      <c r="P152" s="3" t="s">
        <v>75</v>
      </c>
      <c r="Q152" s="3"/>
      <c r="R152" s="3" t="s">
        <v>448</v>
      </c>
      <c r="S152" s="3" t="s">
        <v>126</v>
      </c>
      <c r="T152" s="3" t="s">
        <v>83</v>
      </c>
      <c r="U152" s="3" t="s">
        <v>1410</v>
      </c>
      <c r="V152" s="3" t="s">
        <v>1411</v>
      </c>
    </row>
    <row r="153" spans="1:22">
      <c r="A153" s="3"/>
      <c r="B153" s="3"/>
      <c r="C153" s="3"/>
      <c r="D153" s="3"/>
      <c r="E153" s="3"/>
      <c r="F153" s="19"/>
      <c r="G153" s="19"/>
      <c r="H153" s="3"/>
      <c r="I153" s="3"/>
      <c r="J153" s="3"/>
      <c r="K153" s="3"/>
      <c r="L153" s="3"/>
      <c r="M153" s="3"/>
      <c r="N153" s="3"/>
      <c r="O153" s="3"/>
      <c r="P153" s="3"/>
      <c r="Q153" s="3"/>
      <c r="R153" s="3"/>
      <c r="S153" s="3"/>
      <c r="T153" s="3"/>
      <c r="U153" s="3"/>
      <c r="V153" s="3"/>
    </row>
  </sheetData>
  <conditionalFormatting sqref="L2:L43">
    <cfRule type="expression" dxfId="1" priority="1">
      <formula>L2="支持认可"</formula>
    </cfRule>
  </conditionalFormatting>
  <conditionalFormatting sqref="L75:L153">
    <cfRule type="expression" dxfId="7" priority="3">
      <formula>L75="实施问题"</formula>
    </cfRule>
    <cfRule type="expression" dxfId="6" priority="4">
      <formula>L75="投诉维权"</formula>
    </cfRule>
    <cfRule type="expression" dxfId="8" priority="5">
      <formula>L75="咨询疑问"</formula>
    </cfRule>
    <cfRule type="expression" dxfId="1" priority="6">
      <formula>L75="支持认可"</formula>
    </cfRule>
    <cfRule type="expression" dxfId="9" priority="7">
      <formula>L75="待核实信息"</formula>
    </cfRule>
  </conditionalFormatting>
  <conditionalFormatting sqref="T2:T43">
    <cfRule type="expression" dxfId="0" priority="2">
      <formula>T2="是"</formula>
    </cfRule>
  </conditionalFormatting>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F1"/>
    </sheetView>
  </sheetViews>
  <sheetFormatPr defaultColWidth="9" defaultRowHeight="13.5" outlineLevelCol="5"/>
  <cols>
    <col min="1" max="1" width="28" customWidth="1"/>
    <col min="2" max="2" width="18" customWidth="1"/>
    <col min="3" max="3" width="15" customWidth="1"/>
    <col min="4" max="4" width="17" customWidth="1"/>
    <col min="5" max="5" width="22" customWidth="1"/>
    <col min="6" max="6" width="58" customWidth="1"/>
  </cols>
  <sheetData>
    <row r="1" ht="20.6" spans="1:6">
      <c r="A1" s="9" t="s">
        <v>1585</v>
      </c>
      <c r="B1" s="9"/>
      <c r="C1" s="9"/>
      <c r="D1" s="9"/>
      <c r="E1" s="9"/>
      <c r="F1" s="9"/>
    </row>
    <row r="3" ht="13.9" spans="1:6">
      <c r="A3" s="2" t="s">
        <v>1586</v>
      </c>
      <c r="B3" s="2" t="s">
        <v>1587</v>
      </c>
      <c r="C3" s="2" t="s">
        <v>1588</v>
      </c>
      <c r="D3" s="2" t="s">
        <v>1589</v>
      </c>
      <c r="E3" s="2" t="s">
        <v>1590</v>
      </c>
      <c r="F3" s="2" t="s">
        <v>559</v>
      </c>
    </row>
    <row r="4" ht="40.5" spans="1:6">
      <c r="A4" s="10" t="s">
        <v>14</v>
      </c>
      <c r="B4" s="11" t="s">
        <v>126</v>
      </c>
      <c r="C4" s="11">
        <v>22</v>
      </c>
      <c r="D4" s="11">
        <v>0</v>
      </c>
      <c r="E4" s="11" t="s">
        <v>1591</v>
      </c>
      <c r="F4" s="10" t="s">
        <v>1592</v>
      </c>
    </row>
    <row r="5" ht="27" spans="1:6">
      <c r="A5" s="3" t="s">
        <v>1593</v>
      </c>
      <c r="B5" s="4" t="s">
        <v>126</v>
      </c>
      <c r="C5" s="4">
        <v>14</v>
      </c>
      <c r="D5" s="4">
        <v>48</v>
      </c>
      <c r="E5" s="4" t="s">
        <v>1591</v>
      </c>
      <c r="F5" s="3" t="s">
        <v>1594</v>
      </c>
    </row>
    <row r="6" ht="40.5" spans="1:6">
      <c r="A6" s="10" t="s">
        <v>342</v>
      </c>
      <c r="B6" s="11" t="s">
        <v>126</v>
      </c>
      <c r="C6" s="11">
        <v>7</v>
      </c>
      <c r="D6" s="11">
        <v>18</v>
      </c>
      <c r="E6" s="11" t="s">
        <v>1591</v>
      </c>
      <c r="F6" s="10" t="s">
        <v>1595</v>
      </c>
    </row>
    <row r="7" spans="1:6">
      <c r="A7" s="3" t="s">
        <v>400</v>
      </c>
      <c r="B7" s="4" t="s">
        <v>126</v>
      </c>
      <c r="C7" s="4">
        <v>3</v>
      </c>
      <c r="D7" s="4">
        <v>5</v>
      </c>
      <c r="E7" s="4" t="s">
        <v>1591</v>
      </c>
      <c r="F7" s="3" t="s">
        <v>1596</v>
      </c>
    </row>
    <row r="8" ht="54" spans="1:6">
      <c r="A8" s="10" t="s">
        <v>438</v>
      </c>
      <c r="B8" s="11" t="s">
        <v>126</v>
      </c>
      <c r="C8" s="11">
        <v>1</v>
      </c>
      <c r="D8" s="11">
        <v>756</v>
      </c>
      <c r="E8" s="11" t="s">
        <v>1591</v>
      </c>
      <c r="F8" s="10" t="s">
        <v>1597</v>
      </c>
    </row>
    <row r="9" spans="1:6">
      <c r="A9" s="3" t="s">
        <v>1598</v>
      </c>
      <c r="B9" s="3" t="s">
        <v>1599</v>
      </c>
      <c r="C9" s="3">
        <v>0</v>
      </c>
      <c r="D9" s="3">
        <v>0</v>
      </c>
      <c r="E9" s="3" t="s">
        <v>1600</v>
      </c>
      <c r="F9" s="3" t="s">
        <v>1601</v>
      </c>
    </row>
    <row r="10" spans="1:6">
      <c r="A10" s="13" t="s">
        <v>1602</v>
      </c>
      <c r="B10" s="13" t="s">
        <v>1599</v>
      </c>
      <c r="C10" s="13">
        <v>0</v>
      </c>
      <c r="D10" s="13">
        <v>0</v>
      </c>
      <c r="E10" s="13" t="s">
        <v>1603</v>
      </c>
      <c r="F10" s="13" t="s">
        <v>1604</v>
      </c>
    </row>
    <row r="11" ht="13.85" spans="1:6">
      <c r="A11" s="15"/>
      <c r="B11" s="15"/>
      <c r="C11" s="15"/>
      <c r="D11" s="15"/>
      <c r="E11" s="15"/>
      <c r="F11" s="15"/>
    </row>
    <row r="12" ht="13.85" spans="1:6">
      <c r="A12" s="15" t="s">
        <v>1605</v>
      </c>
      <c r="B12" s="15"/>
      <c r="C12" s="15"/>
      <c r="D12" s="15"/>
      <c r="E12" s="15"/>
      <c r="F12" s="15"/>
    </row>
  </sheetData>
  <mergeCells count="3">
    <mergeCell ref="A1:F1"/>
    <mergeCell ref="A11:F11"/>
    <mergeCell ref="A12:F12"/>
  </mergeCells>
  <conditionalFormatting sqref="E4:E9">
    <cfRule type="expression" dxfId="1" priority="1">
      <formula>E4="已纳入"</formula>
    </cfRule>
    <cfRule type="expression" dxfId="0" priority="2">
      <formula>E4="暂未提交有效原帖"</formula>
    </cfRule>
  </conditionalFormatting>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workbookViewId="0">
      <selection activeCell="A1" sqref="A1:J1"/>
    </sheetView>
  </sheetViews>
  <sheetFormatPr defaultColWidth="9" defaultRowHeight="13.5"/>
  <cols>
    <col min="1" max="1" width="11" customWidth="1"/>
    <col min="2" max="2" width="12" customWidth="1"/>
    <col min="3" max="3" width="42" customWidth="1"/>
    <col min="4" max="4" width="22" customWidth="1"/>
    <col min="5" max="6" width="16" customWidth="1"/>
    <col min="7" max="8" width="14" customWidth="1"/>
    <col min="9" max="9" width="18" customWidth="1"/>
    <col min="10" max="10" width="54" customWidth="1"/>
  </cols>
  <sheetData>
    <row r="1" ht="20.6" spans="1:10">
      <c r="A1" s="9" t="s">
        <v>1606</v>
      </c>
      <c r="B1" s="9"/>
      <c r="C1" s="9"/>
      <c r="D1" s="9"/>
      <c r="E1" s="9"/>
      <c r="F1" s="9"/>
      <c r="G1" s="9"/>
      <c r="H1" s="9"/>
      <c r="I1" s="9"/>
      <c r="J1" s="9"/>
    </row>
    <row r="3" ht="13.9" spans="1:10">
      <c r="A3" s="2" t="s">
        <v>1607</v>
      </c>
      <c r="B3" s="2" t="s">
        <v>1122</v>
      </c>
      <c r="C3" s="2" t="s">
        <v>1608</v>
      </c>
      <c r="D3" s="2" t="s">
        <v>50</v>
      </c>
      <c r="E3" s="2" t="s">
        <v>1609</v>
      </c>
      <c r="F3" s="2" t="s">
        <v>1610</v>
      </c>
      <c r="G3" s="2" t="s">
        <v>1611</v>
      </c>
      <c r="H3" s="2" t="s">
        <v>1612</v>
      </c>
      <c r="I3" s="2" t="s">
        <v>1613</v>
      </c>
      <c r="J3" s="2" t="s">
        <v>1614</v>
      </c>
    </row>
    <row r="4" spans="1:10">
      <c r="A4" s="10" t="s">
        <v>1615</v>
      </c>
      <c r="B4" s="11" t="s">
        <v>342</v>
      </c>
      <c r="C4" s="11" t="s">
        <v>1616</v>
      </c>
      <c r="D4" s="11" t="s">
        <v>1617</v>
      </c>
      <c r="E4" s="11" t="s">
        <v>126</v>
      </c>
      <c r="F4" s="11" t="s">
        <v>126</v>
      </c>
      <c r="G4" s="11">
        <v>7</v>
      </c>
      <c r="H4" s="11">
        <v>7</v>
      </c>
      <c r="I4" s="11" t="s">
        <v>1618</v>
      </c>
      <c r="J4" s="10" t="s">
        <v>1619</v>
      </c>
    </row>
    <row r="5" spans="1:10">
      <c r="A5" s="3" t="s">
        <v>1620</v>
      </c>
      <c r="B5" s="4" t="s">
        <v>342</v>
      </c>
      <c r="C5" s="4" t="s">
        <v>1621</v>
      </c>
      <c r="D5" s="4" t="s">
        <v>1617</v>
      </c>
      <c r="E5" s="4" t="s">
        <v>126</v>
      </c>
      <c r="F5" s="4" t="s">
        <v>126</v>
      </c>
      <c r="G5" s="4">
        <v>8</v>
      </c>
      <c r="H5" s="4">
        <v>7</v>
      </c>
      <c r="I5" s="4" t="s">
        <v>1618</v>
      </c>
      <c r="J5" s="3" t="s">
        <v>1622</v>
      </c>
    </row>
    <row r="6" spans="1:10">
      <c r="A6" s="10" t="s">
        <v>1623</v>
      </c>
      <c r="B6" s="11" t="s">
        <v>342</v>
      </c>
      <c r="C6" s="11" t="s">
        <v>1624</v>
      </c>
      <c r="D6" s="11" t="s">
        <v>1617</v>
      </c>
      <c r="E6" s="11" t="s">
        <v>83</v>
      </c>
      <c r="F6" s="11" t="s">
        <v>126</v>
      </c>
      <c r="G6" s="11">
        <v>5</v>
      </c>
      <c r="H6" s="11">
        <v>0</v>
      </c>
      <c r="I6" s="11" t="s">
        <v>1625</v>
      </c>
      <c r="J6" s="10" t="s">
        <v>1626</v>
      </c>
    </row>
    <row r="7" spans="1:10">
      <c r="A7" s="3" t="s">
        <v>1627</v>
      </c>
      <c r="B7" s="4" t="s">
        <v>342</v>
      </c>
      <c r="C7" s="4" t="s">
        <v>1628</v>
      </c>
      <c r="D7" s="4" t="s">
        <v>1629</v>
      </c>
      <c r="E7" s="4" t="s">
        <v>126</v>
      </c>
      <c r="F7" s="4" t="s">
        <v>126</v>
      </c>
      <c r="G7" s="4">
        <v>1</v>
      </c>
      <c r="H7" s="4">
        <v>1</v>
      </c>
      <c r="I7" s="4" t="s">
        <v>1618</v>
      </c>
      <c r="J7" s="3" t="s">
        <v>1630</v>
      </c>
    </row>
    <row r="8" spans="1:10">
      <c r="A8" s="10" t="s">
        <v>1631</v>
      </c>
      <c r="B8" s="11" t="s">
        <v>342</v>
      </c>
      <c r="C8" s="11" t="s">
        <v>1632</v>
      </c>
      <c r="D8" s="11" t="s">
        <v>1629</v>
      </c>
      <c r="E8" s="11" t="s">
        <v>126</v>
      </c>
      <c r="F8" s="11" t="s">
        <v>126</v>
      </c>
      <c r="G8" s="11">
        <v>1</v>
      </c>
      <c r="H8" s="11">
        <v>1</v>
      </c>
      <c r="I8" s="11" t="s">
        <v>1618</v>
      </c>
      <c r="J8" s="10" t="s">
        <v>1633</v>
      </c>
    </row>
    <row r="9" ht="40.5" spans="1:10">
      <c r="A9" s="3" t="s">
        <v>1634</v>
      </c>
      <c r="B9" s="4" t="s">
        <v>342</v>
      </c>
      <c r="C9" s="4" t="s">
        <v>1635</v>
      </c>
      <c r="D9" s="4" t="s">
        <v>1636</v>
      </c>
      <c r="E9" s="4" t="s">
        <v>126</v>
      </c>
      <c r="F9" s="4" t="s">
        <v>126</v>
      </c>
      <c r="G9" s="4">
        <v>2</v>
      </c>
      <c r="H9" s="4">
        <v>1</v>
      </c>
      <c r="I9" s="4" t="s">
        <v>1637</v>
      </c>
      <c r="J9" s="3" t="s">
        <v>1638</v>
      </c>
    </row>
    <row r="10" spans="1:10">
      <c r="A10" s="10" t="s">
        <v>1639</v>
      </c>
      <c r="B10" s="11" t="s">
        <v>342</v>
      </c>
      <c r="C10" s="11" t="s">
        <v>1640</v>
      </c>
      <c r="D10" s="11" t="s">
        <v>1629</v>
      </c>
      <c r="E10" s="11" t="s">
        <v>126</v>
      </c>
      <c r="F10" s="11" t="s">
        <v>126</v>
      </c>
      <c r="G10" s="11">
        <v>4</v>
      </c>
      <c r="H10" s="11">
        <v>1</v>
      </c>
      <c r="I10" s="11" t="s">
        <v>1618</v>
      </c>
      <c r="J10" s="10" t="s">
        <v>1641</v>
      </c>
    </row>
    <row r="11" spans="1:10">
      <c r="A11" s="3" t="s">
        <v>1642</v>
      </c>
      <c r="B11" s="4" t="s">
        <v>342</v>
      </c>
      <c r="C11" s="4" t="s">
        <v>1643</v>
      </c>
      <c r="D11" s="4" t="s">
        <v>1644</v>
      </c>
      <c r="E11" s="4" t="s">
        <v>126</v>
      </c>
      <c r="F11" s="4" t="s">
        <v>83</v>
      </c>
      <c r="G11" s="4">
        <v>4</v>
      </c>
      <c r="H11" s="4">
        <v>0</v>
      </c>
      <c r="I11" s="4" t="s">
        <v>1625</v>
      </c>
      <c r="J11" s="3" t="s">
        <v>1645</v>
      </c>
    </row>
    <row r="12" spans="1:10">
      <c r="A12" s="10" t="s">
        <v>1646</v>
      </c>
      <c r="B12" s="11" t="s">
        <v>342</v>
      </c>
      <c r="C12" s="11" t="s">
        <v>1647</v>
      </c>
      <c r="D12" s="11" t="s">
        <v>1648</v>
      </c>
      <c r="E12" s="11" t="s">
        <v>126</v>
      </c>
      <c r="F12" s="11" t="s">
        <v>126</v>
      </c>
      <c r="G12" s="11">
        <v>1</v>
      </c>
      <c r="H12" s="11">
        <v>0</v>
      </c>
      <c r="I12" s="11" t="s">
        <v>1649</v>
      </c>
      <c r="J12" s="10" t="s">
        <v>1650</v>
      </c>
    </row>
    <row r="13" spans="1:10">
      <c r="A13" s="3" t="s">
        <v>1651</v>
      </c>
      <c r="B13" s="4" t="s">
        <v>400</v>
      </c>
      <c r="C13" s="4" t="s">
        <v>1652</v>
      </c>
      <c r="D13" s="4" t="s">
        <v>1653</v>
      </c>
      <c r="E13" s="4" t="s">
        <v>126</v>
      </c>
      <c r="F13" s="4" t="s">
        <v>83</v>
      </c>
      <c r="G13" s="4">
        <v>13</v>
      </c>
      <c r="H13" s="4">
        <v>0</v>
      </c>
      <c r="I13" s="4" t="s">
        <v>1625</v>
      </c>
      <c r="J13" s="3" t="s">
        <v>1654</v>
      </c>
    </row>
    <row r="14" spans="1:10">
      <c r="A14" s="10" t="s">
        <v>1655</v>
      </c>
      <c r="B14" s="11" t="s">
        <v>400</v>
      </c>
      <c r="C14" s="11" t="s">
        <v>1656</v>
      </c>
      <c r="D14" s="11" t="s">
        <v>1657</v>
      </c>
      <c r="E14" s="11" t="s">
        <v>126</v>
      </c>
      <c r="F14" s="11" t="s">
        <v>83</v>
      </c>
      <c r="G14" s="11">
        <v>4</v>
      </c>
      <c r="H14" s="11">
        <v>0</v>
      </c>
      <c r="I14" s="11" t="s">
        <v>1625</v>
      </c>
      <c r="J14" s="10" t="s">
        <v>1658</v>
      </c>
    </row>
    <row r="15" spans="1:10">
      <c r="A15" s="3" t="s">
        <v>1659</v>
      </c>
      <c r="B15" s="4" t="s">
        <v>400</v>
      </c>
      <c r="C15" s="4" t="s">
        <v>1660</v>
      </c>
      <c r="D15" s="4" t="s">
        <v>1661</v>
      </c>
      <c r="E15" s="4" t="s">
        <v>126</v>
      </c>
      <c r="F15" s="4" t="s">
        <v>126</v>
      </c>
      <c r="G15" s="4">
        <v>9</v>
      </c>
      <c r="H15" s="4">
        <v>1</v>
      </c>
      <c r="I15" s="4" t="s">
        <v>1662</v>
      </c>
      <c r="J15" s="3" t="s">
        <v>1663</v>
      </c>
    </row>
    <row r="16" spans="1:10">
      <c r="A16" s="10" t="s">
        <v>1664</v>
      </c>
      <c r="B16" s="11" t="s">
        <v>400</v>
      </c>
      <c r="C16" s="11" t="s">
        <v>1665</v>
      </c>
      <c r="D16" s="11" t="s">
        <v>1661</v>
      </c>
      <c r="E16" s="11" t="s">
        <v>126</v>
      </c>
      <c r="F16" s="11" t="s">
        <v>126</v>
      </c>
      <c r="G16" s="11">
        <v>9</v>
      </c>
      <c r="H16" s="11">
        <v>2</v>
      </c>
      <c r="I16" s="11" t="s">
        <v>1666</v>
      </c>
      <c r="J16" s="10" t="s">
        <v>1667</v>
      </c>
    </row>
    <row r="17" spans="1:10">
      <c r="A17" s="3" t="s">
        <v>1668</v>
      </c>
      <c r="B17" s="4" t="s">
        <v>400</v>
      </c>
      <c r="C17" s="4" t="s">
        <v>1669</v>
      </c>
      <c r="D17" s="4" t="s">
        <v>1670</v>
      </c>
      <c r="E17" s="4" t="s">
        <v>1671</v>
      </c>
      <c r="F17" s="4" t="s">
        <v>126</v>
      </c>
      <c r="G17" s="4">
        <v>2</v>
      </c>
      <c r="H17" s="4">
        <v>0</v>
      </c>
      <c r="I17" s="4" t="s">
        <v>1672</v>
      </c>
      <c r="J17" s="3" t="s">
        <v>1673</v>
      </c>
    </row>
    <row r="18" spans="1:10">
      <c r="A18" s="10" t="s">
        <v>1674</v>
      </c>
      <c r="B18" s="11" t="s">
        <v>400</v>
      </c>
      <c r="C18" s="11" t="s">
        <v>1675</v>
      </c>
      <c r="D18" s="11" t="s">
        <v>1653</v>
      </c>
      <c r="E18" s="11" t="s">
        <v>126</v>
      </c>
      <c r="F18" s="11" t="s">
        <v>83</v>
      </c>
      <c r="G18" s="11">
        <v>13</v>
      </c>
      <c r="H18" s="11">
        <v>0</v>
      </c>
      <c r="I18" s="11" t="s">
        <v>1625</v>
      </c>
      <c r="J18" s="10" t="s">
        <v>1676</v>
      </c>
    </row>
    <row r="19" spans="1:10">
      <c r="A19" s="3" t="s">
        <v>1677</v>
      </c>
      <c r="B19" s="4" t="s">
        <v>400</v>
      </c>
      <c r="C19" s="4" t="s">
        <v>1678</v>
      </c>
      <c r="D19" s="4" t="s">
        <v>1679</v>
      </c>
      <c r="E19" s="4" t="s">
        <v>126</v>
      </c>
      <c r="F19" s="4" t="s">
        <v>126</v>
      </c>
      <c r="G19" s="4">
        <v>2</v>
      </c>
      <c r="H19" s="4">
        <v>0</v>
      </c>
      <c r="I19" s="4" t="s">
        <v>1680</v>
      </c>
      <c r="J19" s="3" t="s">
        <v>1681</v>
      </c>
    </row>
    <row r="20" spans="1:10">
      <c r="A20" s="10" t="s">
        <v>1682</v>
      </c>
      <c r="B20" s="11" t="s">
        <v>400</v>
      </c>
      <c r="C20" s="11" t="s">
        <v>1683</v>
      </c>
      <c r="D20" s="11" t="s">
        <v>1629</v>
      </c>
      <c r="E20" s="11" t="s">
        <v>126</v>
      </c>
      <c r="F20" s="11" t="s">
        <v>126</v>
      </c>
      <c r="G20" s="11">
        <v>11</v>
      </c>
      <c r="H20" s="11">
        <v>1</v>
      </c>
      <c r="I20" s="11" t="s">
        <v>1684</v>
      </c>
      <c r="J20" s="10" t="s">
        <v>1685</v>
      </c>
    </row>
    <row r="21" spans="1:10">
      <c r="A21" s="3" t="s">
        <v>1686</v>
      </c>
      <c r="B21" s="4" t="s">
        <v>400</v>
      </c>
      <c r="C21" s="4" t="s">
        <v>1687</v>
      </c>
      <c r="D21" s="4" t="s">
        <v>1629</v>
      </c>
      <c r="E21" s="4" t="s">
        <v>126</v>
      </c>
      <c r="F21" s="4" t="s">
        <v>126</v>
      </c>
      <c r="G21" s="4">
        <v>11</v>
      </c>
      <c r="H21" s="4">
        <v>1</v>
      </c>
      <c r="I21" s="4" t="s">
        <v>1688</v>
      </c>
      <c r="J21" s="3" t="s">
        <v>1689</v>
      </c>
    </row>
    <row r="22" spans="1:10">
      <c r="A22" s="10" t="s">
        <v>1690</v>
      </c>
      <c r="B22" s="11" t="s">
        <v>400</v>
      </c>
      <c r="C22" s="11" t="s">
        <v>1691</v>
      </c>
      <c r="D22" s="11" t="s">
        <v>1657</v>
      </c>
      <c r="E22" s="11" t="s">
        <v>1671</v>
      </c>
      <c r="F22" s="11" t="s">
        <v>1671</v>
      </c>
      <c r="G22" s="11">
        <v>9</v>
      </c>
      <c r="H22" s="11">
        <v>0</v>
      </c>
      <c r="I22" s="11" t="s">
        <v>1672</v>
      </c>
      <c r="J22" s="10" t="s">
        <v>1692</v>
      </c>
    </row>
    <row r="23" spans="1:10">
      <c r="A23" s="3" t="s">
        <v>1693</v>
      </c>
      <c r="B23" s="4" t="s">
        <v>400</v>
      </c>
      <c r="C23" s="4" t="s">
        <v>1694</v>
      </c>
      <c r="D23" s="4" t="s">
        <v>1670</v>
      </c>
      <c r="E23" s="4" t="s">
        <v>83</v>
      </c>
      <c r="F23" s="4" t="s">
        <v>126</v>
      </c>
      <c r="G23" s="4">
        <v>2</v>
      </c>
      <c r="H23" s="4">
        <v>0</v>
      </c>
      <c r="I23" s="4" t="s">
        <v>1625</v>
      </c>
      <c r="J23" s="3" t="s">
        <v>1695</v>
      </c>
    </row>
    <row r="24" spans="1:10">
      <c r="A24" s="10" t="s">
        <v>1696</v>
      </c>
      <c r="B24" s="11" t="s">
        <v>257</v>
      </c>
      <c r="C24" s="11" t="s">
        <v>1697</v>
      </c>
      <c r="D24" s="11" t="s">
        <v>1698</v>
      </c>
      <c r="E24" s="11" t="s">
        <v>126</v>
      </c>
      <c r="F24" s="11" t="s">
        <v>126</v>
      </c>
      <c r="G24" s="11">
        <v>7</v>
      </c>
      <c r="H24" s="11">
        <v>7</v>
      </c>
      <c r="I24" s="11" t="s">
        <v>1699</v>
      </c>
      <c r="J24" s="10" t="s">
        <v>1700</v>
      </c>
    </row>
    <row r="25" spans="1:10">
      <c r="A25" s="3" t="s">
        <v>1701</v>
      </c>
      <c r="B25" s="4" t="s">
        <v>257</v>
      </c>
      <c r="C25" s="4" t="s">
        <v>1702</v>
      </c>
      <c r="D25" s="4" t="s">
        <v>1703</v>
      </c>
      <c r="E25" s="4" t="s">
        <v>126</v>
      </c>
      <c r="F25" s="4" t="s">
        <v>126</v>
      </c>
      <c r="G25" s="4">
        <v>4</v>
      </c>
      <c r="H25" s="4">
        <v>4</v>
      </c>
      <c r="I25" s="4" t="s">
        <v>1618</v>
      </c>
      <c r="J25" s="3" t="s">
        <v>1704</v>
      </c>
    </row>
    <row r="26" spans="1:10">
      <c r="A26" s="10" t="s">
        <v>1705</v>
      </c>
      <c r="B26" s="11" t="s">
        <v>257</v>
      </c>
      <c r="C26" s="11" t="s">
        <v>1706</v>
      </c>
      <c r="D26" s="11" t="s">
        <v>1707</v>
      </c>
      <c r="E26" s="11" t="s">
        <v>126</v>
      </c>
      <c r="F26" s="11" t="s">
        <v>83</v>
      </c>
      <c r="G26" s="11">
        <v>1</v>
      </c>
      <c r="H26" s="11">
        <v>0</v>
      </c>
      <c r="I26" s="11" t="s">
        <v>1625</v>
      </c>
      <c r="J26" s="10" t="s">
        <v>1708</v>
      </c>
    </row>
    <row r="27" spans="1:10">
      <c r="A27" s="3" t="s">
        <v>1709</v>
      </c>
      <c r="B27" s="4" t="s">
        <v>257</v>
      </c>
      <c r="C27" s="4" t="s">
        <v>1710</v>
      </c>
      <c r="D27" s="4" t="s">
        <v>1679</v>
      </c>
      <c r="E27" s="4" t="s">
        <v>126</v>
      </c>
      <c r="F27" s="4" t="s">
        <v>126</v>
      </c>
      <c r="G27" s="4">
        <v>1</v>
      </c>
      <c r="H27" s="4">
        <v>1</v>
      </c>
      <c r="I27" s="4" t="s">
        <v>1618</v>
      </c>
      <c r="J27" s="3" t="s">
        <v>1711</v>
      </c>
    </row>
    <row r="28" spans="1:10">
      <c r="A28" s="10" t="s">
        <v>1712</v>
      </c>
      <c r="B28" s="11" t="s">
        <v>257</v>
      </c>
      <c r="C28" s="11" t="s">
        <v>1713</v>
      </c>
      <c r="D28" s="11" t="s">
        <v>1679</v>
      </c>
      <c r="E28" s="11" t="s">
        <v>126</v>
      </c>
      <c r="F28" s="11" t="s">
        <v>126</v>
      </c>
      <c r="G28" s="11">
        <v>1</v>
      </c>
      <c r="H28" s="11">
        <v>1</v>
      </c>
      <c r="I28" s="11" t="s">
        <v>1618</v>
      </c>
      <c r="J28" s="10" t="s">
        <v>1714</v>
      </c>
    </row>
    <row r="29" spans="1:10">
      <c r="A29" s="3" t="s">
        <v>1715</v>
      </c>
      <c r="B29" s="4" t="s">
        <v>257</v>
      </c>
      <c r="C29" s="4" t="s">
        <v>1716</v>
      </c>
      <c r="D29" s="4" t="s">
        <v>1679</v>
      </c>
      <c r="E29" s="4" t="s">
        <v>126</v>
      </c>
      <c r="F29" s="4" t="s">
        <v>126</v>
      </c>
      <c r="G29" s="4">
        <v>2</v>
      </c>
      <c r="H29" s="4">
        <v>2</v>
      </c>
      <c r="I29" s="4" t="s">
        <v>1618</v>
      </c>
      <c r="J29" s="3" t="s">
        <v>1717</v>
      </c>
    </row>
    <row r="30" spans="1:10">
      <c r="A30" s="10" t="s">
        <v>1718</v>
      </c>
      <c r="B30" s="11" t="s">
        <v>257</v>
      </c>
      <c r="C30" s="11" t="s">
        <v>1719</v>
      </c>
      <c r="D30" s="11" t="s">
        <v>1679</v>
      </c>
      <c r="E30" s="11" t="s">
        <v>126</v>
      </c>
      <c r="F30" s="11" t="s">
        <v>126</v>
      </c>
      <c r="G30" s="11">
        <v>2</v>
      </c>
      <c r="H30" s="11">
        <v>2</v>
      </c>
      <c r="I30" s="11" t="s">
        <v>1618</v>
      </c>
      <c r="J30" s="10" t="s">
        <v>1720</v>
      </c>
    </row>
    <row r="31" spans="1:10">
      <c r="A31" s="3" t="s">
        <v>1721</v>
      </c>
      <c r="B31" s="4" t="s">
        <v>257</v>
      </c>
      <c r="C31" s="4" t="s">
        <v>1722</v>
      </c>
      <c r="D31" s="4" t="s">
        <v>1679</v>
      </c>
      <c r="E31" s="4" t="s">
        <v>126</v>
      </c>
      <c r="F31" s="4" t="s">
        <v>126</v>
      </c>
      <c r="G31" s="4">
        <v>1</v>
      </c>
      <c r="H31" s="4">
        <v>1</v>
      </c>
      <c r="I31" s="4" t="s">
        <v>1618</v>
      </c>
      <c r="J31" s="3" t="s">
        <v>1723</v>
      </c>
    </row>
    <row r="32" spans="1:10">
      <c r="A32" s="10" t="s">
        <v>1724</v>
      </c>
      <c r="B32" s="11" t="s">
        <v>257</v>
      </c>
      <c r="C32" s="11" t="s">
        <v>1725</v>
      </c>
      <c r="D32" s="11" t="s">
        <v>1679</v>
      </c>
      <c r="E32" s="11" t="s">
        <v>126</v>
      </c>
      <c r="F32" s="11" t="s">
        <v>126</v>
      </c>
      <c r="G32" s="11">
        <v>1</v>
      </c>
      <c r="H32" s="11">
        <v>1</v>
      </c>
      <c r="I32" s="11" t="s">
        <v>1618</v>
      </c>
      <c r="J32" s="10" t="s">
        <v>1726</v>
      </c>
    </row>
    <row r="33" spans="1:10">
      <c r="A33" s="3" t="s">
        <v>1727</v>
      </c>
      <c r="B33" s="4" t="s">
        <v>257</v>
      </c>
      <c r="C33" s="4" t="s">
        <v>1728</v>
      </c>
      <c r="D33" s="4" t="s">
        <v>1729</v>
      </c>
      <c r="E33" s="4" t="s">
        <v>126</v>
      </c>
      <c r="F33" s="4" t="s">
        <v>126</v>
      </c>
      <c r="G33" s="4">
        <v>7</v>
      </c>
      <c r="H33" s="4">
        <v>7</v>
      </c>
      <c r="I33" s="4" t="s">
        <v>1618</v>
      </c>
      <c r="J33" s="3" t="s">
        <v>1730</v>
      </c>
    </row>
    <row r="34" ht="40.5" spans="1:10">
      <c r="A34" s="10" t="s">
        <v>1731</v>
      </c>
      <c r="B34" s="11" t="s">
        <v>257</v>
      </c>
      <c r="C34" s="11" t="s">
        <v>1732</v>
      </c>
      <c r="D34" s="11" t="s">
        <v>1733</v>
      </c>
      <c r="E34" s="11" t="s">
        <v>126</v>
      </c>
      <c r="F34" s="11" t="s">
        <v>126</v>
      </c>
      <c r="G34" s="11">
        <v>3</v>
      </c>
      <c r="H34" s="11">
        <v>3</v>
      </c>
      <c r="I34" s="11" t="s">
        <v>1618</v>
      </c>
      <c r="J34" s="10" t="s">
        <v>1734</v>
      </c>
    </row>
    <row r="35" spans="1:10">
      <c r="A35" s="3" t="s">
        <v>1735</v>
      </c>
      <c r="B35" s="4" t="s">
        <v>257</v>
      </c>
      <c r="C35" s="4" t="s">
        <v>1736</v>
      </c>
      <c r="D35" s="4" t="s">
        <v>1617</v>
      </c>
      <c r="E35" s="4" t="s">
        <v>126</v>
      </c>
      <c r="F35" s="4" t="s">
        <v>126</v>
      </c>
      <c r="G35" s="4">
        <v>7</v>
      </c>
      <c r="H35" s="4">
        <v>6</v>
      </c>
      <c r="I35" s="4" t="s">
        <v>1618</v>
      </c>
      <c r="J35" s="3" t="s">
        <v>1737</v>
      </c>
    </row>
    <row r="36" spans="1:10">
      <c r="A36" s="10" t="s">
        <v>1738</v>
      </c>
      <c r="B36" s="11" t="s">
        <v>257</v>
      </c>
      <c r="C36" s="11" t="s">
        <v>1739</v>
      </c>
      <c r="D36" s="11" t="s">
        <v>1617</v>
      </c>
      <c r="E36" s="11" t="s">
        <v>126</v>
      </c>
      <c r="F36" s="11" t="s">
        <v>126</v>
      </c>
      <c r="G36" s="11">
        <v>3</v>
      </c>
      <c r="H36" s="11">
        <v>2</v>
      </c>
      <c r="I36" s="11" t="s">
        <v>1618</v>
      </c>
      <c r="J36" s="10" t="s">
        <v>1740</v>
      </c>
    </row>
    <row r="37" ht="40.5" spans="1:10">
      <c r="A37" s="3" t="s">
        <v>1741</v>
      </c>
      <c r="B37" s="4" t="s">
        <v>257</v>
      </c>
      <c r="C37" s="4" t="s">
        <v>1742</v>
      </c>
      <c r="D37" s="4" t="s">
        <v>1743</v>
      </c>
      <c r="E37" s="4" t="s">
        <v>126</v>
      </c>
      <c r="F37" s="4" t="s">
        <v>126</v>
      </c>
      <c r="G37" s="4">
        <v>4</v>
      </c>
      <c r="H37" s="4">
        <v>4</v>
      </c>
      <c r="I37" s="4" t="s">
        <v>1618</v>
      </c>
      <c r="J37" s="3" t="s">
        <v>1744</v>
      </c>
    </row>
    <row r="38" spans="1:10">
      <c r="A38" s="10" t="s">
        <v>1745</v>
      </c>
      <c r="B38" s="11" t="s">
        <v>257</v>
      </c>
      <c r="C38" s="11" t="s">
        <v>1746</v>
      </c>
      <c r="D38" s="11" t="s">
        <v>1617</v>
      </c>
      <c r="E38" s="11" t="s">
        <v>126</v>
      </c>
      <c r="F38" s="11" t="s">
        <v>126</v>
      </c>
      <c r="G38" s="11">
        <v>8</v>
      </c>
      <c r="H38" s="11">
        <v>7</v>
      </c>
      <c r="I38" s="11" t="s">
        <v>1618</v>
      </c>
      <c r="J38" s="10" t="s">
        <v>1747</v>
      </c>
    </row>
    <row r="39" ht="54" spans="1:10">
      <c r="A39" s="3" t="s">
        <v>1748</v>
      </c>
      <c r="B39" s="4" t="s">
        <v>438</v>
      </c>
      <c r="C39" s="4" t="s">
        <v>1749</v>
      </c>
      <c r="D39" s="4" t="s">
        <v>1750</v>
      </c>
      <c r="E39" s="4" t="s">
        <v>126</v>
      </c>
      <c r="F39" s="4" t="s">
        <v>126</v>
      </c>
      <c r="G39" s="4">
        <v>758</v>
      </c>
      <c r="H39" s="4">
        <v>756</v>
      </c>
      <c r="I39" s="4" t="s">
        <v>1751</v>
      </c>
      <c r="J39" s="3" t="s">
        <v>1752</v>
      </c>
    </row>
    <row r="40" ht="27" spans="1:10">
      <c r="A40" s="10" t="s">
        <v>1753</v>
      </c>
      <c r="B40" s="10" t="s">
        <v>1754</v>
      </c>
      <c r="C40" s="10" t="s">
        <v>1755</v>
      </c>
      <c r="D40" s="10" t="s">
        <v>1756</v>
      </c>
      <c r="E40" s="10" t="s">
        <v>126</v>
      </c>
      <c r="F40" s="10" t="s">
        <v>126</v>
      </c>
      <c r="G40" s="10">
        <v>0</v>
      </c>
      <c r="H40" s="10">
        <v>0</v>
      </c>
      <c r="I40" s="10" t="s">
        <v>1757</v>
      </c>
      <c r="J40" s="10" t="s">
        <v>1758</v>
      </c>
    </row>
    <row r="41" ht="27" spans="1:10">
      <c r="A41" s="12" t="s">
        <v>1759</v>
      </c>
      <c r="B41" s="12" t="s">
        <v>1754</v>
      </c>
      <c r="C41" s="12" t="s">
        <v>1760</v>
      </c>
      <c r="D41" s="12" t="s">
        <v>1761</v>
      </c>
      <c r="E41" s="12" t="s">
        <v>126</v>
      </c>
      <c r="F41" s="12" t="s">
        <v>126</v>
      </c>
      <c r="G41" s="12">
        <v>0</v>
      </c>
      <c r="H41" s="12">
        <v>0</v>
      </c>
      <c r="I41" s="12" t="s">
        <v>1762</v>
      </c>
      <c r="J41" s="12" t="s">
        <v>1763</v>
      </c>
    </row>
    <row r="42" ht="13.85" spans="1:10">
      <c r="A42" s="16" t="s">
        <v>1764</v>
      </c>
      <c r="B42" s="16" t="s">
        <v>1754</v>
      </c>
      <c r="C42" s="16" t="s">
        <v>1765</v>
      </c>
      <c r="D42" s="16" t="s">
        <v>1766</v>
      </c>
      <c r="E42" s="16" t="s">
        <v>126</v>
      </c>
      <c r="F42" s="16" t="s">
        <v>126</v>
      </c>
      <c r="G42" s="16">
        <v>0</v>
      </c>
      <c r="H42" s="16">
        <v>0</v>
      </c>
      <c r="I42" s="16" t="s">
        <v>1757</v>
      </c>
      <c r="J42" s="16" t="s">
        <v>1767</v>
      </c>
    </row>
    <row r="43" ht="27" spans="1:10">
      <c r="A43" s="3" t="s">
        <v>1768</v>
      </c>
      <c r="B43" s="3" t="s">
        <v>1754</v>
      </c>
      <c r="C43" s="3" t="s">
        <v>1769</v>
      </c>
      <c r="D43" s="3" t="s">
        <v>1766</v>
      </c>
      <c r="E43" s="3" t="s">
        <v>126</v>
      </c>
      <c r="F43" s="3" t="s">
        <v>126</v>
      </c>
      <c r="G43" s="3">
        <v>0</v>
      </c>
      <c r="H43" s="3">
        <v>0</v>
      </c>
      <c r="I43" s="3" t="s">
        <v>1757</v>
      </c>
      <c r="J43" s="3" t="s">
        <v>1770</v>
      </c>
    </row>
    <row r="44" ht="27" spans="1:10">
      <c r="A44" s="3" t="s">
        <v>1771</v>
      </c>
      <c r="B44" s="3" t="s">
        <v>1754</v>
      </c>
      <c r="C44" s="3" t="s">
        <v>1772</v>
      </c>
      <c r="D44" s="3" t="s">
        <v>1773</v>
      </c>
      <c r="E44" s="3" t="s">
        <v>126</v>
      </c>
      <c r="F44" s="3" t="s">
        <v>126</v>
      </c>
      <c r="G44" s="3">
        <v>0</v>
      </c>
      <c r="H44" s="3">
        <v>0</v>
      </c>
      <c r="I44" s="3" t="s">
        <v>1762</v>
      </c>
      <c r="J44" s="3" t="s">
        <v>1774</v>
      </c>
    </row>
    <row r="45" ht="27" spans="1:10">
      <c r="A45" s="3" t="s">
        <v>1775</v>
      </c>
      <c r="B45" s="3" t="s">
        <v>1754</v>
      </c>
      <c r="C45" s="3" t="s">
        <v>1776</v>
      </c>
      <c r="D45" s="3" t="s">
        <v>1777</v>
      </c>
      <c r="E45" s="3" t="s">
        <v>83</v>
      </c>
      <c r="F45" s="3" t="s">
        <v>126</v>
      </c>
      <c r="G45" s="3">
        <v>0</v>
      </c>
      <c r="H45" s="3">
        <v>0</v>
      </c>
      <c r="I45" s="3" t="s">
        <v>1625</v>
      </c>
      <c r="J45" s="3" t="s">
        <v>1778</v>
      </c>
    </row>
    <row r="46" spans="1:10">
      <c r="A46" t="s">
        <v>1779</v>
      </c>
      <c r="H46">
        <v>827</v>
      </c>
      <c r="I46" t="s">
        <v>1780</v>
      </c>
    </row>
  </sheetData>
  <mergeCells count="3">
    <mergeCell ref="A1:J1"/>
    <mergeCell ref="A42:G42"/>
    <mergeCell ref="I42:J42"/>
  </mergeCells>
  <conditionalFormatting sqref="I4:I40">
    <cfRule type="expression" dxfId="1" priority="1">
      <formula>LEFT(I4,2)="新增"</formula>
    </cfRule>
    <cfRule type="expression" dxfId="6" priority="2">
      <formula>OR(I4="排除",I4="暂不计入")</formula>
    </cfRule>
    <cfRule type="expression" dxfId="9" priority="3">
      <formula>LEFT(I4,4)="原表重复"</formula>
    </cfRule>
  </conditionalFormatting>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A1" sqref="A1:H1"/>
    </sheetView>
  </sheetViews>
  <sheetFormatPr defaultColWidth="9" defaultRowHeight="13.5" outlineLevelCol="7"/>
  <cols>
    <col min="1" max="1" width="22" customWidth="1"/>
    <col min="2" max="2" width="58" customWidth="1"/>
    <col min="3" max="3" width="4" customWidth="1"/>
    <col min="4" max="4" width="18" customWidth="1"/>
    <col min="5" max="5" width="12" customWidth="1"/>
    <col min="6" max="6" width="24" customWidth="1"/>
    <col min="7" max="7" width="32" customWidth="1"/>
    <col min="8" max="8" width="13" customWidth="1"/>
  </cols>
  <sheetData>
    <row r="1" ht="20.6" spans="1:8">
      <c r="A1" s="9" t="s">
        <v>1781</v>
      </c>
      <c r="B1" s="9"/>
      <c r="C1" s="9"/>
      <c r="D1" s="9"/>
      <c r="E1" s="9"/>
      <c r="F1" s="9"/>
      <c r="G1" s="9"/>
      <c r="H1" s="9"/>
    </row>
    <row r="3" ht="13.9" spans="1:8">
      <c r="A3" s="6" t="s">
        <v>1782</v>
      </c>
      <c r="B3" s="6" t="s">
        <v>1783</v>
      </c>
      <c r="D3" s="6" t="s">
        <v>1784</v>
      </c>
      <c r="E3" s="6" t="s">
        <v>513</v>
      </c>
      <c r="G3" s="2" t="s">
        <v>1785</v>
      </c>
      <c r="H3" s="2" t="s">
        <v>513</v>
      </c>
    </row>
    <row r="4" spans="1:8">
      <c r="A4" s="13" t="s">
        <v>1122</v>
      </c>
      <c r="B4" s="13" t="s">
        <v>438</v>
      </c>
      <c r="D4" s="14" t="s">
        <v>525</v>
      </c>
      <c r="E4" s="14">
        <v>24</v>
      </c>
      <c r="G4" s="13" t="s">
        <v>1128</v>
      </c>
      <c r="H4" s="14">
        <v>758</v>
      </c>
    </row>
    <row r="5" spans="1:8">
      <c r="A5" s="13" t="s">
        <v>1786</v>
      </c>
      <c r="B5" s="13" t="s">
        <v>440</v>
      </c>
      <c r="D5" s="14" t="s">
        <v>521</v>
      </c>
      <c r="E5" s="14">
        <v>19</v>
      </c>
      <c r="G5" s="13" t="s">
        <v>1787</v>
      </c>
      <c r="H5" s="14">
        <v>79</v>
      </c>
    </row>
    <row r="6" spans="1:8">
      <c r="A6" s="13" t="s">
        <v>1788</v>
      </c>
      <c r="B6" s="13" t="s">
        <v>1789</v>
      </c>
      <c r="D6" s="14" t="s">
        <v>527</v>
      </c>
      <c r="E6" s="14">
        <v>12</v>
      </c>
      <c r="G6" s="13" t="s">
        <v>1790</v>
      </c>
      <c r="H6" s="14">
        <v>679</v>
      </c>
    </row>
    <row r="7" ht="27" spans="1:8">
      <c r="A7" s="13" t="s">
        <v>1791</v>
      </c>
      <c r="B7" s="13" t="s">
        <v>1792</v>
      </c>
      <c r="D7" s="14" t="s">
        <v>520</v>
      </c>
      <c r="E7" s="14">
        <v>7</v>
      </c>
      <c r="G7" s="13" t="s">
        <v>1793</v>
      </c>
      <c r="H7" s="14">
        <v>6</v>
      </c>
    </row>
    <row r="8" spans="1:8">
      <c r="A8" s="13" t="s">
        <v>1794</v>
      </c>
      <c r="B8" s="13" t="s">
        <v>1795</v>
      </c>
      <c r="D8" s="14" t="s">
        <v>516</v>
      </c>
      <c r="E8" s="14">
        <v>6</v>
      </c>
      <c r="G8" s="13" t="s">
        <v>1796</v>
      </c>
      <c r="H8" s="14">
        <v>685</v>
      </c>
    </row>
    <row r="9" spans="1:8">
      <c r="A9" s="13" t="s">
        <v>1128</v>
      </c>
      <c r="B9" s="13">
        <v>758</v>
      </c>
      <c r="D9" s="14" t="s">
        <v>518</v>
      </c>
      <c r="E9" s="14">
        <v>5</v>
      </c>
      <c r="G9" s="13" t="s">
        <v>1797</v>
      </c>
      <c r="H9" s="14">
        <v>71</v>
      </c>
    </row>
    <row r="10" ht="40.5" spans="1:8">
      <c r="A10" s="13" t="s">
        <v>1798</v>
      </c>
      <c r="B10" s="13" t="s">
        <v>1799</v>
      </c>
      <c r="D10" s="14" t="s">
        <v>523</v>
      </c>
      <c r="E10" s="14">
        <v>4</v>
      </c>
      <c r="G10" s="13" t="s">
        <v>1800</v>
      </c>
      <c r="H10" s="14">
        <v>2</v>
      </c>
    </row>
    <row r="11" spans="1:8">
      <c r="A11" s="13" t="s">
        <v>58</v>
      </c>
      <c r="B11" s="13" t="s">
        <v>448</v>
      </c>
      <c r="D11" s="14" t="s">
        <v>1801</v>
      </c>
      <c r="E11" s="14">
        <v>1</v>
      </c>
      <c r="G11" s="13" t="s">
        <v>1802</v>
      </c>
      <c r="H11" s="14">
        <v>756</v>
      </c>
    </row>
    <row r="12" spans="1:8">
      <c r="D12" s="14" t="s">
        <v>1803</v>
      </c>
      <c r="E12" s="14">
        <v>1</v>
      </c>
    </row>
    <row r="13" spans="1:8">
      <c r="D13" s="14" t="s">
        <v>1804</v>
      </c>
      <c r="E13" s="14">
        <v>79</v>
      </c>
    </row>
    <row r="14" ht="13.85" spans="1:8">
      <c r="A14" s="6" t="s">
        <v>1805</v>
      </c>
      <c r="B14" s="6"/>
      <c r="C14" s="6"/>
      <c r="D14" s="6"/>
      <c r="E14" s="6"/>
      <c r="F14" s="6"/>
      <c r="G14" s="6"/>
      <c r="H14" s="6"/>
    </row>
    <row r="15" ht="94.5" spans="1:8">
      <c r="A15" s="3" t="s">
        <v>1806</v>
      </c>
      <c r="B15" s="3" t="s">
        <v>1807</v>
      </c>
      <c r="C15" s="3" t="s">
        <v>1808</v>
      </c>
      <c r="D15" s="3" t="s">
        <v>1809</v>
      </c>
      <c r="E15" s="3" t="s">
        <v>1810</v>
      </c>
      <c r="F15" s="3" t="s">
        <v>1811</v>
      </c>
      <c r="G15" s="3" t="s">
        <v>1812</v>
      </c>
      <c r="H15" s="3" t="s">
        <v>1812</v>
      </c>
    </row>
    <row r="16" ht="337.5" spans="1:8">
      <c r="A16" s="3" t="s">
        <v>1813</v>
      </c>
      <c r="B16" s="4" t="s">
        <v>1814</v>
      </c>
      <c r="C16" s="4" t="s">
        <v>1815</v>
      </c>
      <c r="D16" s="4" t="s">
        <v>1816</v>
      </c>
      <c r="E16" s="4" t="s">
        <v>126</v>
      </c>
      <c r="F16" s="4" t="s">
        <v>1817</v>
      </c>
      <c r="G16" s="4" t="s">
        <v>1812</v>
      </c>
      <c r="H16" s="3" t="s">
        <v>1812</v>
      </c>
    </row>
    <row r="17" ht="243" spans="1:8">
      <c r="A17" s="3" t="s">
        <v>1818</v>
      </c>
      <c r="B17" s="4" t="s">
        <v>1819</v>
      </c>
      <c r="C17" s="4" t="s">
        <v>1820</v>
      </c>
      <c r="D17" s="4" t="s">
        <v>1821</v>
      </c>
      <c r="E17" s="4" t="s">
        <v>126</v>
      </c>
      <c r="F17" s="4" t="s">
        <v>1822</v>
      </c>
      <c r="G17" s="4" t="s">
        <v>1812</v>
      </c>
      <c r="H17" s="3" t="s">
        <v>1812</v>
      </c>
    </row>
    <row r="18" ht="216" spans="1:8">
      <c r="A18" s="3" t="s">
        <v>1823</v>
      </c>
      <c r="B18" s="4" t="s">
        <v>1824</v>
      </c>
      <c r="C18" s="4" t="s">
        <v>1825</v>
      </c>
      <c r="D18" s="4" t="s">
        <v>1826</v>
      </c>
      <c r="E18" s="4" t="s">
        <v>126</v>
      </c>
      <c r="F18" s="4" t="s">
        <v>1827</v>
      </c>
      <c r="G18" s="4" t="s">
        <v>1812</v>
      </c>
      <c r="H18" s="3" t="s">
        <v>1812</v>
      </c>
    </row>
    <row r="19" ht="337.5" spans="1:8">
      <c r="A19" s="3" t="s">
        <v>1828</v>
      </c>
      <c r="B19" s="4" t="s">
        <v>1829</v>
      </c>
      <c r="C19" s="4" t="s">
        <v>1830</v>
      </c>
      <c r="D19" s="4" t="s">
        <v>1831</v>
      </c>
      <c r="E19" s="4" t="s">
        <v>126</v>
      </c>
      <c r="F19" s="4" t="s">
        <v>1832</v>
      </c>
      <c r="G19" s="4" t="s">
        <v>1812</v>
      </c>
      <c r="H19" s="3" t="s">
        <v>1812</v>
      </c>
    </row>
    <row r="20" ht="202.5" spans="1:8">
      <c r="A20" s="3" t="s">
        <v>1833</v>
      </c>
      <c r="B20" s="4" t="s">
        <v>1834</v>
      </c>
      <c r="C20" s="4" t="s">
        <v>1835</v>
      </c>
      <c r="D20" s="4" t="s">
        <v>516</v>
      </c>
      <c r="E20" s="4" t="s">
        <v>1836</v>
      </c>
      <c r="F20" s="4" t="s">
        <v>1837</v>
      </c>
      <c r="G20" s="4" t="s">
        <v>1812</v>
      </c>
      <c r="H20" s="3" t="s">
        <v>1812</v>
      </c>
    </row>
    <row r="21" ht="108" spans="1:8">
      <c r="A21" s="3" t="s">
        <v>1838</v>
      </c>
      <c r="B21" s="3" t="s">
        <v>1839</v>
      </c>
      <c r="C21" s="3" t="s">
        <v>1840</v>
      </c>
      <c r="D21" s="3" t="s">
        <v>1841</v>
      </c>
      <c r="E21" s="3" t="s">
        <v>126</v>
      </c>
      <c r="F21" s="3" t="s">
        <v>1842</v>
      </c>
      <c r="G21" s="3" t="s">
        <v>1812</v>
      </c>
      <c r="H21" s="3" t="s">
        <v>1812</v>
      </c>
    </row>
    <row r="23" ht="13.85" spans="1:8">
      <c r="A23" s="15" t="s">
        <v>1843</v>
      </c>
      <c r="B23" s="15"/>
      <c r="C23" s="15"/>
      <c r="D23" s="15"/>
      <c r="E23" s="15"/>
      <c r="F23" s="15"/>
      <c r="G23" s="15"/>
      <c r="H23" s="15"/>
    </row>
    <row r="24" spans="1:8">
      <c r="A24" s="15"/>
      <c r="B24" s="15"/>
      <c r="C24" s="15"/>
      <c r="D24" s="15"/>
      <c r="E24" s="15"/>
      <c r="F24" s="15"/>
      <c r="G24" s="15"/>
      <c r="H24" s="15"/>
    </row>
    <row r="25" spans="1:8">
      <c r="A25" s="15"/>
      <c r="B25" s="15"/>
      <c r="C25" s="15"/>
      <c r="D25" s="15"/>
      <c r="E25" s="15"/>
      <c r="F25" s="15"/>
      <c r="G25" s="15"/>
      <c r="H25" s="15"/>
    </row>
  </sheetData>
  <mergeCells count="4">
    <mergeCell ref="A1:H1"/>
    <mergeCell ref="A14:H14"/>
    <mergeCell ref="A23:F23"/>
    <mergeCell ref="A23:H25"/>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selection activeCell="A1" sqref="A1:J1"/>
    </sheetView>
  </sheetViews>
  <sheetFormatPr defaultColWidth="9" defaultRowHeight="13.5" outlineLevelRow="3"/>
  <cols>
    <col min="1" max="1" width="11" customWidth="1"/>
    <col min="2" max="2" width="10" customWidth="1"/>
    <col min="3" max="3" width="24" customWidth="1"/>
    <col min="4" max="4" width="14" customWidth="1"/>
    <col min="5" max="5" width="45" customWidth="1"/>
    <col min="6" max="6" width="12" customWidth="1"/>
    <col min="7" max="8" width="18" customWidth="1"/>
    <col min="9" max="9" width="42" customWidth="1"/>
    <col min="10" max="10" width="62" customWidth="1"/>
  </cols>
  <sheetData>
    <row r="1" ht="20.6" spans="1:10">
      <c r="A1" s="9" t="s">
        <v>1844</v>
      </c>
      <c r="B1" s="9"/>
      <c r="C1" s="9"/>
      <c r="D1" s="9"/>
      <c r="E1" s="9"/>
      <c r="F1" s="9"/>
      <c r="G1" s="9"/>
      <c r="H1" s="9"/>
      <c r="I1" s="9"/>
      <c r="J1" s="9"/>
    </row>
    <row r="3" ht="13.9" spans="1:10">
      <c r="A3" s="2" t="s">
        <v>1121</v>
      </c>
      <c r="B3" s="2" t="s">
        <v>1122</v>
      </c>
      <c r="C3" s="2" t="s">
        <v>1786</v>
      </c>
      <c r="D3" s="2" t="s">
        <v>60</v>
      </c>
      <c r="E3" s="2" t="s">
        <v>1845</v>
      </c>
      <c r="F3" s="2" t="s">
        <v>1846</v>
      </c>
      <c r="G3" s="2" t="s">
        <v>66</v>
      </c>
      <c r="H3" s="2" t="s">
        <v>1242</v>
      </c>
      <c r="I3" s="2" t="s">
        <v>58</v>
      </c>
      <c r="J3" s="2" t="s">
        <v>1847</v>
      </c>
    </row>
    <row r="4" ht="40.5" spans="1:10">
      <c r="A4" s="10" t="s">
        <v>1230</v>
      </c>
      <c r="B4" s="10" t="s">
        <v>438</v>
      </c>
      <c r="C4" s="10" t="s">
        <v>440</v>
      </c>
      <c r="D4" s="10" t="s">
        <v>516</v>
      </c>
      <c r="E4" s="10" t="s">
        <v>1848</v>
      </c>
      <c r="F4" s="10">
        <v>679</v>
      </c>
      <c r="G4" s="10" t="s">
        <v>126</v>
      </c>
      <c r="H4" s="10" t="s">
        <v>535</v>
      </c>
      <c r="I4" s="10" t="s">
        <v>448</v>
      </c>
      <c r="J4" s="10" t="s">
        <v>1849</v>
      </c>
    </row>
  </sheetData>
  <mergeCells count="1">
    <mergeCell ref="A1:J1"/>
  </mergeCells>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workbookViewId="0">
      <selection activeCell="A1" sqref="A1:H1"/>
    </sheetView>
  </sheetViews>
  <sheetFormatPr defaultColWidth="9" defaultRowHeight="13.5" outlineLevelCol="7"/>
  <cols>
    <col min="1" max="1" width="10" customWidth="1"/>
    <col min="2" max="2" width="11" customWidth="1"/>
    <col min="3" max="3" width="18" customWidth="1"/>
    <col min="4" max="4" width="40" customWidth="1"/>
    <col min="5" max="5" width="58" customWidth="1"/>
    <col min="6" max="6" width="18" customWidth="1"/>
    <col min="7" max="7" width="32" customWidth="1"/>
    <col min="8" max="8" width="46" customWidth="1"/>
  </cols>
  <sheetData>
    <row r="1" ht="20.6" spans="1:8">
      <c r="A1" s="9" t="s">
        <v>1850</v>
      </c>
      <c r="B1" s="9"/>
      <c r="C1" s="9"/>
      <c r="D1" s="9"/>
      <c r="E1" s="9"/>
      <c r="F1" s="9"/>
      <c r="G1" s="9"/>
      <c r="H1" s="9"/>
    </row>
    <row r="3" ht="13.9" spans="1:8">
      <c r="A3" s="2" t="s">
        <v>42</v>
      </c>
      <c r="B3" s="2" t="s">
        <v>1122</v>
      </c>
      <c r="C3" s="2" t="s">
        <v>1851</v>
      </c>
      <c r="D3" s="2" t="s">
        <v>1852</v>
      </c>
      <c r="E3" s="2" t="s">
        <v>58</v>
      </c>
      <c r="F3" s="2" t="s">
        <v>1853</v>
      </c>
      <c r="G3" s="2" t="s">
        <v>1854</v>
      </c>
      <c r="H3" s="2" t="s">
        <v>67</v>
      </c>
    </row>
    <row r="4" spans="1:8">
      <c r="A4" s="10" t="s">
        <v>1855</v>
      </c>
      <c r="B4" s="11" t="s">
        <v>342</v>
      </c>
      <c r="C4" s="11" t="s">
        <v>1183</v>
      </c>
      <c r="D4" s="11" t="s">
        <v>1856</v>
      </c>
      <c r="E4" s="11" t="s">
        <v>346</v>
      </c>
      <c r="F4" s="11" t="s">
        <v>1857</v>
      </c>
      <c r="G4" s="11" t="s">
        <v>1858</v>
      </c>
      <c r="H4" s="10" t="s">
        <v>1859</v>
      </c>
    </row>
    <row r="5" spans="1:8">
      <c r="A5" s="3" t="s">
        <v>1860</v>
      </c>
      <c r="B5" s="4" t="s">
        <v>342</v>
      </c>
      <c r="C5" s="4" t="s">
        <v>1187</v>
      </c>
      <c r="D5" s="4" t="s">
        <v>1861</v>
      </c>
      <c r="E5" s="4" t="s">
        <v>352</v>
      </c>
      <c r="F5" s="4" t="s">
        <v>1857</v>
      </c>
      <c r="G5" s="4" t="s">
        <v>1858</v>
      </c>
      <c r="H5" s="3" t="s">
        <v>1859</v>
      </c>
    </row>
    <row r="6" spans="1:8">
      <c r="A6" s="10" t="s">
        <v>1862</v>
      </c>
      <c r="B6" s="11" t="s">
        <v>342</v>
      </c>
      <c r="C6" s="11" t="s">
        <v>1863</v>
      </c>
      <c r="D6" s="11" t="s">
        <v>1864</v>
      </c>
      <c r="E6" s="11" t="s">
        <v>1865</v>
      </c>
      <c r="F6" s="11" t="s">
        <v>1625</v>
      </c>
      <c r="G6" s="11" t="s">
        <v>1866</v>
      </c>
      <c r="H6" s="10" t="s">
        <v>1867</v>
      </c>
    </row>
    <row r="7" spans="1:8">
      <c r="A7" s="3" t="s">
        <v>1868</v>
      </c>
      <c r="B7" s="4" t="s">
        <v>342</v>
      </c>
      <c r="C7" s="4" t="s">
        <v>1191</v>
      </c>
      <c r="D7" s="4" t="s">
        <v>1869</v>
      </c>
      <c r="E7" s="4" t="s">
        <v>359</v>
      </c>
      <c r="F7" s="4" t="s">
        <v>1857</v>
      </c>
      <c r="G7" s="4" t="s">
        <v>1858</v>
      </c>
      <c r="H7" s="3" t="s">
        <v>1859</v>
      </c>
    </row>
    <row r="8" spans="1:8">
      <c r="A8" s="10" t="s">
        <v>1870</v>
      </c>
      <c r="B8" s="11" t="s">
        <v>342</v>
      </c>
      <c r="C8" s="11" t="s">
        <v>1195</v>
      </c>
      <c r="D8" s="11" t="s">
        <v>1871</v>
      </c>
      <c r="E8" s="11" t="s">
        <v>364</v>
      </c>
      <c r="F8" s="11" t="s">
        <v>1857</v>
      </c>
      <c r="G8" s="11" t="s">
        <v>1858</v>
      </c>
      <c r="H8" s="10" t="s">
        <v>1859</v>
      </c>
    </row>
    <row r="9" ht="27" spans="1:8">
      <c r="A9" s="3" t="s">
        <v>1872</v>
      </c>
      <c r="B9" s="4" t="s">
        <v>342</v>
      </c>
      <c r="C9" s="4" t="s">
        <v>1199</v>
      </c>
      <c r="D9" s="4" t="s">
        <v>1873</v>
      </c>
      <c r="E9" s="4" t="s">
        <v>372</v>
      </c>
      <c r="F9" s="4" t="s">
        <v>1857</v>
      </c>
      <c r="G9" s="4" t="s">
        <v>1858</v>
      </c>
      <c r="H9" s="3" t="s">
        <v>1874</v>
      </c>
    </row>
    <row r="10" spans="1:8">
      <c r="A10" s="10" t="s">
        <v>1875</v>
      </c>
      <c r="B10" s="11" t="s">
        <v>342</v>
      </c>
      <c r="C10" s="11" t="s">
        <v>1203</v>
      </c>
      <c r="D10" s="11" t="s">
        <v>1876</v>
      </c>
      <c r="E10" s="11" t="s">
        <v>378</v>
      </c>
      <c r="F10" s="11" t="s">
        <v>1857</v>
      </c>
      <c r="G10" s="11" t="s">
        <v>1858</v>
      </c>
      <c r="H10" s="10" t="s">
        <v>1859</v>
      </c>
    </row>
    <row r="11" spans="1:8">
      <c r="A11" s="3" t="s">
        <v>1877</v>
      </c>
      <c r="B11" s="4" t="s">
        <v>342</v>
      </c>
      <c r="C11" s="4" t="s">
        <v>1878</v>
      </c>
      <c r="D11" s="4" t="s">
        <v>1879</v>
      </c>
      <c r="E11" s="4" t="s">
        <v>1880</v>
      </c>
      <c r="F11" s="4" t="s">
        <v>1625</v>
      </c>
      <c r="G11" s="4" t="s">
        <v>1866</v>
      </c>
      <c r="H11" s="3" t="s">
        <v>1881</v>
      </c>
    </row>
    <row r="12" spans="1:8">
      <c r="A12" s="10" t="s">
        <v>1882</v>
      </c>
      <c r="B12" s="11" t="s">
        <v>342</v>
      </c>
      <c r="C12" s="11" t="s">
        <v>1207</v>
      </c>
      <c r="D12" s="11" t="s">
        <v>1883</v>
      </c>
      <c r="E12" s="11" t="s">
        <v>386</v>
      </c>
      <c r="F12" s="11" t="s">
        <v>1857</v>
      </c>
      <c r="G12" s="11" t="s">
        <v>1858</v>
      </c>
      <c r="H12" s="10" t="s">
        <v>1884</v>
      </c>
    </row>
    <row r="13" spans="1:8">
      <c r="A13" s="3" t="s">
        <v>1885</v>
      </c>
      <c r="B13" s="4" t="s">
        <v>400</v>
      </c>
      <c r="C13" s="4" t="s">
        <v>1215</v>
      </c>
      <c r="D13" s="4" t="s">
        <v>1886</v>
      </c>
      <c r="E13" s="4" t="s">
        <v>409</v>
      </c>
      <c r="F13" s="4" t="s">
        <v>1857</v>
      </c>
      <c r="G13" s="4" t="s">
        <v>1858</v>
      </c>
      <c r="H13" s="3" t="s">
        <v>1887</v>
      </c>
    </row>
    <row r="14" spans="1:8">
      <c r="A14" s="10" t="s">
        <v>1888</v>
      </c>
      <c r="B14" s="11" t="s">
        <v>400</v>
      </c>
      <c r="C14" s="11" t="s">
        <v>1889</v>
      </c>
      <c r="D14" s="11" t="s">
        <v>1890</v>
      </c>
      <c r="E14" s="11" t="s">
        <v>1891</v>
      </c>
      <c r="F14" s="11" t="s">
        <v>1892</v>
      </c>
      <c r="G14" s="11" t="s">
        <v>1866</v>
      </c>
      <c r="H14" s="10" t="s">
        <v>1893</v>
      </c>
    </row>
    <row r="15" spans="1:8">
      <c r="A15" s="3" t="s">
        <v>1894</v>
      </c>
      <c r="B15" s="4" t="s">
        <v>400</v>
      </c>
      <c r="C15" s="4" t="s">
        <v>1220</v>
      </c>
      <c r="D15" s="4" t="s">
        <v>1895</v>
      </c>
      <c r="E15" s="4" t="s">
        <v>421</v>
      </c>
      <c r="F15" s="4" t="s">
        <v>1857</v>
      </c>
      <c r="G15" s="4" t="s">
        <v>1896</v>
      </c>
      <c r="H15" s="3" t="s">
        <v>1897</v>
      </c>
    </row>
    <row r="16" spans="1:8">
      <c r="A16" s="10" t="s">
        <v>1898</v>
      </c>
      <c r="B16" s="11" t="s">
        <v>400</v>
      </c>
      <c r="C16" s="11" t="s">
        <v>1225</v>
      </c>
      <c r="D16" s="11" t="s">
        <v>1899</v>
      </c>
      <c r="E16" s="11" t="s">
        <v>433</v>
      </c>
      <c r="F16" s="11" t="s">
        <v>1857</v>
      </c>
      <c r="G16" s="11" t="s">
        <v>1858</v>
      </c>
      <c r="H16" s="10" t="s">
        <v>1900</v>
      </c>
    </row>
    <row r="17" spans="1:8">
      <c r="A17" s="3" t="s">
        <v>1901</v>
      </c>
      <c r="B17" s="4" t="s">
        <v>400</v>
      </c>
      <c r="C17" s="4" t="s">
        <v>1902</v>
      </c>
      <c r="D17" s="4" t="s">
        <v>1903</v>
      </c>
      <c r="E17" s="4" t="s">
        <v>1904</v>
      </c>
      <c r="F17" s="4" t="s">
        <v>1625</v>
      </c>
      <c r="G17" s="4" t="s">
        <v>1866</v>
      </c>
      <c r="H17" s="3" t="s">
        <v>1905</v>
      </c>
    </row>
    <row r="18" ht="40.5" spans="1:8">
      <c r="A18" s="10" t="s">
        <v>1906</v>
      </c>
      <c r="B18" s="11" t="s">
        <v>257</v>
      </c>
      <c r="C18" s="11" t="s">
        <v>1907</v>
      </c>
      <c r="D18" s="11" t="s">
        <v>1908</v>
      </c>
      <c r="E18" s="11" t="s">
        <v>1909</v>
      </c>
      <c r="F18" s="11" t="s">
        <v>1910</v>
      </c>
      <c r="G18" s="11" t="s">
        <v>1911</v>
      </c>
      <c r="H18" s="10" t="s">
        <v>1912</v>
      </c>
    </row>
    <row r="19" ht="40.5" spans="1:8">
      <c r="A19" s="3" t="s">
        <v>1913</v>
      </c>
      <c r="B19" s="4" t="s">
        <v>257</v>
      </c>
      <c r="C19" s="4" t="s">
        <v>1907</v>
      </c>
      <c r="D19" s="4" t="s">
        <v>1914</v>
      </c>
      <c r="E19" s="4" t="s">
        <v>1915</v>
      </c>
      <c r="F19" s="4" t="s">
        <v>1910</v>
      </c>
      <c r="G19" s="4" t="s">
        <v>1911</v>
      </c>
      <c r="H19" s="3" t="s">
        <v>1912</v>
      </c>
    </row>
    <row r="20" ht="40.5" spans="1:8">
      <c r="A20" s="10" t="s">
        <v>1916</v>
      </c>
      <c r="B20" s="11" t="s">
        <v>257</v>
      </c>
      <c r="C20" s="11" t="s">
        <v>1907</v>
      </c>
      <c r="D20" s="11" t="s">
        <v>1917</v>
      </c>
      <c r="E20" s="11" t="s">
        <v>1918</v>
      </c>
      <c r="F20" s="11" t="s">
        <v>1910</v>
      </c>
      <c r="G20" s="11" t="s">
        <v>1911</v>
      </c>
      <c r="H20" s="10" t="s">
        <v>1912</v>
      </c>
    </row>
    <row r="21" ht="40.5" spans="1:8">
      <c r="A21" s="3" t="s">
        <v>1919</v>
      </c>
      <c r="B21" s="4" t="s">
        <v>257</v>
      </c>
      <c r="C21" s="4" t="s">
        <v>1907</v>
      </c>
      <c r="D21" s="4" t="s">
        <v>1920</v>
      </c>
      <c r="E21" s="4" t="s">
        <v>1921</v>
      </c>
      <c r="F21" s="4" t="s">
        <v>1910</v>
      </c>
      <c r="G21" s="4" t="s">
        <v>1911</v>
      </c>
      <c r="H21" s="3" t="s">
        <v>1912</v>
      </c>
    </row>
    <row r="22" ht="40.5" spans="1:8">
      <c r="A22" s="10" t="s">
        <v>1922</v>
      </c>
      <c r="B22" s="11" t="s">
        <v>257</v>
      </c>
      <c r="C22" s="11" t="s">
        <v>1907</v>
      </c>
      <c r="D22" s="11" t="s">
        <v>1923</v>
      </c>
      <c r="E22" s="11" t="s">
        <v>1924</v>
      </c>
      <c r="F22" s="11" t="s">
        <v>1910</v>
      </c>
      <c r="G22" s="11" t="s">
        <v>1911</v>
      </c>
      <c r="H22" s="10" t="s">
        <v>1912</v>
      </c>
    </row>
    <row r="23" ht="40.5" spans="1:8">
      <c r="A23" s="3" t="s">
        <v>1925</v>
      </c>
      <c r="B23" s="4" t="s">
        <v>257</v>
      </c>
      <c r="C23" s="4" t="s">
        <v>1907</v>
      </c>
      <c r="D23" s="4" t="s">
        <v>1926</v>
      </c>
      <c r="E23" s="4" t="s">
        <v>1927</v>
      </c>
      <c r="F23" s="4" t="s">
        <v>1910</v>
      </c>
      <c r="G23" s="4" t="s">
        <v>1911</v>
      </c>
      <c r="H23" s="3" t="s">
        <v>1912</v>
      </c>
    </row>
    <row r="24" ht="40.5" spans="1:8">
      <c r="A24" s="10" t="s">
        <v>1928</v>
      </c>
      <c r="B24" s="11" t="s">
        <v>257</v>
      </c>
      <c r="C24" s="11" t="s">
        <v>1907</v>
      </c>
      <c r="D24" s="11" t="s">
        <v>1929</v>
      </c>
      <c r="E24" s="11" t="s">
        <v>1930</v>
      </c>
      <c r="F24" s="11" t="s">
        <v>1910</v>
      </c>
      <c r="G24" s="11" t="s">
        <v>1911</v>
      </c>
      <c r="H24" s="10" t="s">
        <v>1912</v>
      </c>
    </row>
    <row r="25" ht="40.5" spans="1:8">
      <c r="A25" s="3" t="s">
        <v>1931</v>
      </c>
      <c r="B25" s="4" t="s">
        <v>257</v>
      </c>
      <c r="C25" s="4" t="s">
        <v>1907</v>
      </c>
      <c r="D25" s="4" t="s">
        <v>1932</v>
      </c>
      <c r="E25" s="4" t="s">
        <v>1933</v>
      </c>
      <c r="F25" s="4" t="s">
        <v>1910</v>
      </c>
      <c r="G25" s="4" t="s">
        <v>1911</v>
      </c>
      <c r="H25" s="3" t="s">
        <v>1912</v>
      </c>
    </row>
    <row r="26" ht="40.5" spans="1:8">
      <c r="A26" s="10" t="s">
        <v>1934</v>
      </c>
      <c r="B26" s="11" t="s">
        <v>257</v>
      </c>
      <c r="C26" s="11" t="s">
        <v>1907</v>
      </c>
      <c r="D26" s="11" t="s">
        <v>1935</v>
      </c>
      <c r="E26" s="11" t="s">
        <v>1936</v>
      </c>
      <c r="F26" s="11" t="s">
        <v>1910</v>
      </c>
      <c r="G26" s="11" t="s">
        <v>1911</v>
      </c>
      <c r="H26" s="10" t="s">
        <v>1912</v>
      </c>
    </row>
    <row r="27" ht="40.5" spans="1:8">
      <c r="A27" s="3" t="s">
        <v>1937</v>
      </c>
      <c r="B27" s="4" t="s">
        <v>257</v>
      </c>
      <c r="C27" s="4" t="s">
        <v>1907</v>
      </c>
      <c r="D27" s="4" t="s">
        <v>1938</v>
      </c>
      <c r="E27" s="4" t="s">
        <v>1939</v>
      </c>
      <c r="F27" s="4" t="s">
        <v>1910</v>
      </c>
      <c r="G27" s="4" t="s">
        <v>1911</v>
      </c>
      <c r="H27" s="3" t="s">
        <v>1912</v>
      </c>
    </row>
    <row r="28" ht="40.5" spans="1:8">
      <c r="A28" s="10" t="s">
        <v>1940</v>
      </c>
      <c r="B28" s="11" t="s">
        <v>257</v>
      </c>
      <c r="C28" s="11" t="s">
        <v>1907</v>
      </c>
      <c r="D28" s="11" t="s">
        <v>1941</v>
      </c>
      <c r="E28" s="11" t="s">
        <v>1942</v>
      </c>
      <c r="F28" s="11" t="s">
        <v>1910</v>
      </c>
      <c r="G28" s="11" t="s">
        <v>1911</v>
      </c>
      <c r="H28" s="10" t="s">
        <v>1912</v>
      </c>
    </row>
    <row r="29" ht="40.5" spans="1:8">
      <c r="A29" s="3" t="s">
        <v>1943</v>
      </c>
      <c r="B29" s="4" t="s">
        <v>257</v>
      </c>
      <c r="C29" s="4" t="s">
        <v>1907</v>
      </c>
      <c r="D29" s="4" t="s">
        <v>1944</v>
      </c>
      <c r="E29" s="4" t="s">
        <v>1945</v>
      </c>
      <c r="F29" s="4" t="s">
        <v>1910</v>
      </c>
      <c r="G29" s="4" t="s">
        <v>1911</v>
      </c>
      <c r="H29" s="3" t="s">
        <v>1912</v>
      </c>
    </row>
    <row r="30" ht="40.5" spans="1:8">
      <c r="A30" s="10" t="s">
        <v>1946</v>
      </c>
      <c r="B30" s="11" t="s">
        <v>257</v>
      </c>
      <c r="C30" s="11" t="s">
        <v>1907</v>
      </c>
      <c r="D30" s="11" t="s">
        <v>1947</v>
      </c>
      <c r="E30" s="11" t="s">
        <v>1948</v>
      </c>
      <c r="F30" s="11" t="s">
        <v>1910</v>
      </c>
      <c r="G30" s="11" t="s">
        <v>1911</v>
      </c>
      <c r="H30" s="10" t="s">
        <v>1912</v>
      </c>
    </row>
    <row r="31" ht="40.5" spans="1:8">
      <c r="A31" s="3" t="s">
        <v>1949</v>
      </c>
      <c r="B31" s="4" t="s">
        <v>257</v>
      </c>
      <c r="C31" s="4" t="s">
        <v>1907</v>
      </c>
      <c r="D31" s="4" t="s">
        <v>1950</v>
      </c>
      <c r="E31" s="4" t="s">
        <v>1951</v>
      </c>
      <c r="F31" s="4" t="s">
        <v>1910</v>
      </c>
      <c r="G31" s="4" t="s">
        <v>1911</v>
      </c>
      <c r="H31" s="3" t="s">
        <v>1912</v>
      </c>
    </row>
    <row r="32" ht="40.5" spans="1:8">
      <c r="A32" s="10" t="s">
        <v>1952</v>
      </c>
      <c r="B32" s="10" t="s">
        <v>257</v>
      </c>
      <c r="C32" s="10" t="s">
        <v>1907</v>
      </c>
      <c r="D32" s="10" t="s">
        <v>1953</v>
      </c>
      <c r="E32" s="10" t="s">
        <v>1954</v>
      </c>
      <c r="F32" s="10" t="s">
        <v>1910</v>
      </c>
      <c r="G32" s="10" t="s">
        <v>1911</v>
      </c>
      <c r="H32" s="10" t="s">
        <v>1912</v>
      </c>
    </row>
    <row r="33" ht="27" spans="1:8">
      <c r="A33" s="12" t="s">
        <v>1955</v>
      </c>
      <c r="B33" s="12" t="s">
        <v>257</v>
      </c>
      <c r="C33" s="12" t="s">
        <v>1134</v>
      </c>
      <c r="D33" s="12" t="s">
        <v>1956</v>
      </c>
      <c r="E33" s="12" t="s">
        <v>265</v>
      </c>
      <c r="F33" s="12" t="s">
        <v>1957</v>
      </c>
      <c r="G33" s="12" t="s">
        <v>1958</v>
      </c>
      <c r="H33" s="12" t="s">
        <v>1959</v>
      </c>
    </row>
    <row r="34" ht="27" spans="1:8">
      <c r="A34" s="12" t="s">
        <v>1960</v>
      </c>
      <c r="B34" s="12" t="s">
        <v>257</v>
      </c>
      <c r="C34" s="12" t="s">
        <v>1172</v>
      </c>
      <c r="D34" s="12" t="s">
        <v>1732</v>
      </c>
      <c r="E34" s="12" t="s">
        <v>325</v>
      </c>
      <c r="F34" s="12" t="s">
        <v>1957</v>
      </c>
      <c r="G34" s="12" t="s">
        <v>1958</v>
      </c>
      <c r="H34" s="12" t="s">
        <v>1961</v>
      </c>
    </row>
  </sheetData>
  <mergeCells count="1">
    <mergeCell ref="A1:H1"/>
  </mergeCells>
  <conditionalFormatting sqref="F4:F32">
    <cfRule type="expression" dxfId="1" priority="1">
      <formula>F4="有效母帖"</formula>
    </cfRule>
    <cfRule type="expression" dxfId="9" priority="2">
      <formula>OR(F4="排除",F4="待核实/暂不计入")</formula>
    </cfRule>
  </conditionalFormatting>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workbookViewId="0">
      <selection activeCell="A1" sqref="A1:F1"/>
    </sheetView>
  </sheetViews>
  <sheetFormatPr defaultColWidth="9" defaultRowHeight="13.5" outlineLevelCol="5"/>
  <cols>
    <col min="1" max="1" width="30" customWidth="1"/>
    <col min="2" max="2" width="18" customWidth="1"/>
    <col min="3" max="3" width="78" customWidth="1"/>
  </cols>
  <sheetData>
    <row r="1" ht="34" customHeight="1" spans="1:6">
      <c r="A1" s="1" t="s">
        <v>1962</v>
      </c>
      <c r="B1" s="1"/>
      <c r="C1" s="1"/>
      <c r="D1" s="1"/>
      <c r="E1" s="1"/>
      <c r="F1" s="1"/>
    </row>
    <row r="3" spans="1:6">
      <c r="A3" s="2" t="s">
        <v>1963</v>
      </c>
      <c r="B3" s="2" t="s">
        <v>513</v>
      </c>
      <c r="C3" s="2" t="s">
        <v>1964</v>
      </c>
    </row>
    <row r="4" ht="27" spans="1:6">
      <c r="A4" s="5" t="s">
        <v>29</v>
      </c>
      <c r="B4" s="4">
        <v>57</v>
      </c>
      <c r="C4" s="3" t="s">
        <v>1965</v>
      </c>
    </row>
    <row r="5" ht="13.9" spans="1:6">
      <c r="A5" s="5" t="s">
        <v>31</v>
      </c>
      <c r="B5" s="4">
        <v>8</v>
      </c>
      <c r="C5" s="3" t="s">
        <v>1966</v>
      </c>
    </row>
    <row r="6" ht="27" spans="1:6">
      <c r="A6" s="5" t="s">
        <v>33</v>
      </c>
      <c r="B6" s="4" t="s">
        <v>34</v>
      </c>
      <c r="C6" s="3" t="s">
        <v>1967</v>
      </c>
    </row>
    <row r="7" ht="27" spans="1:6">
      <c r="A7" s="5" t="s">
        <v>35</v>
      </c>
      <c r="B7" s="4">
        <v>874</v>
      </c>
      <c r="C7" s="3" t="s">
        <v>1968</v>
      </c>
    </row>
    <row r="8" ht="27" spans="1:6">
      <c r="A8" s="5" t="s">
        <v>37</v>
      </c>
      <c r="B8" s="4">
        <v>874</v>
      </c>
      <c r="C8" s="3" t="s">
        <v>1969</v>
      </c>
    </row>
    <row r="9" ht="13.9" spans="1:6">
      <c r="A9" s="5" t="s">
        <v>1970</v>
      </c>
      <c r="B9" s="4">
        <v>47</v>
      </c>
      <c r="C9" s="3" t="s">
        <v>1971</v>
      </c>
    </row>
    <row r="10" ht="27" spans="1:6">
      <c r="A10" s="5" t="s">
        <v>1972</v>
      </c>
      <c r="B10" s="4">
        <v>827</v>
      </c>
      <c r="C10" s="3" t="s">
        <v>1973</v>
      </c>
    </row>
    <row r="11" ht="27" spans="1:6">
      <c r="A11" s="5" t="s">
        <v>38</v>
      </c>
      <c r="B11" s="4">
        <v>72</v>
      </c>
      <c r="C11" s="3" t="s">
        <v>1974</v>
      </c>
    </row>
    <row r="12" ht="27" spans="1:6">
      <c r="A12" s="5" t="s">
        <v>40</v>
      </c>
      <c r="B12" s="3">
        <v>4</v>
      </c>
      <c r="C12" s="3" t="s">
        <v>1975</v>
      </c>
    </row>
    <row r="14" ht="13.85" spans="1:6">
      <c r="A14" s="6" t="s">
        <v>1976</v>
      </c>
      <c r="B14" s="6" t="s">
        <v>1977</v>
      </c>
      <c r="C14" s="6" t="s">
        <v>1978</v>
      </c>
    </row>
    <row r="15" ht="40.5" spans="1:6">
      <c r="A15" s="7" t="s">
        <v>1979</v>
      </c>
      <c r="B15" s="8" t="s">
        <v>1980</v>
      </c>
      <c r="C15" s="7" t="s">
        <v>1981</v>
      </c>
    </row>
    <row r="16" ht="67.5" spans="1:6">
      <c r="A16" s="7" t="s">
        <v>1982</v>
      </c>
      <c r="B16" s="7" t="s">
        <v>1983</v>
      </c>
      <c r="C16" s="7" t="s">
        <v>1984</v>
      </c>
    </row>
  </sheetData>
  <mergeCells count="1">
    <mergeCell ref="A1:F1"/>
  </mergeCells>
  <pageMargins left="0.7" right="0.7" top="0.75" bottom="0.75" header="0.3" footer="0.3"/>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5"/>
  <sheetViews>
    <sheetView workbookViewId="0">
      <selection activeCell="A1" sqref="A1:L1"/>
    </sheetView>
  </sheetViews>
  <sheetFormatPr defaultColWidth="9" defaultRowHeight="13.5"/>
  <cols>
    <col min="1" max="1" width="8" customWidth="1"/>
    <col min="2" max="3" width="10" customWidth="1"/>
    <col min="4" max="4" width="24" customWidth="1"/>
    <col min="5" max="5" width="48" customWidth="1"/>
    <col min="6" max="7" width="16" customWidth="1"/>
    <col min="8" max="8" width="44" customWidth="1"/>
    <col min="9" max="9" width="32" customWidth="1"/>
    <col min="10" max="10" width="58" customWidth="1"/>
    <col min="11" max="11" width="12" customWidth="1"/>
    <col min="12" max="12" width="18" customWidth="1"/>
  </cols>
  <sheetData>
    <row r="1" ht="34" customHeight="1" spans="1:12">
      <c r="A1" s="1" t="s">
        <v>1985</v>
      </c>
      <c r="B1" s="1"/>
      <c r="C1" s="1"/>
      <c r="D1" s="1"/>
      <c r="E1" s="1"/>
      <c r="F1" s="1"/>
      <c r="G1" s="1"/>
      <c r="H1" s="1"/>
      <c r="I1" s="1"/>
      <c r="J1" s="1"/>
      <c r="K1" s="1"/>
      <c r="L1" s="1"/>
    </row>
    <row r="3" spans="1:12">
      <c r="A3" s="2" t="s">
        <v>42</v>
      </c>
      <c r="B3" s="2" t="s">
        <v>1121</v>
      </c>
      <c r="C3" s="2" t="s">
        <v>1122</v>
      </c>
      <c r="D3" s="2" t="s">
        <v>1786</v>
      </c>
      <c r="E3" s="2" t="s">
        <v>1986</v>
      </c>
      <c r="F3" s="2" t="s">
        <v>1987</v>
      </c>
      <c r="G3" s="2" t="s">
        <v>1988</v>
      </c>
      <c r="H3" s="2" t="s">
        <v>58</v>
      </c>
      <c r="I3" s="2" t="s">
        <v>1989</v>
      </c>
      <c r="J3" s="2" t="s">
        <v>1990</v>
      </c>
      <c r="K3" s="2" t="s">
        <v>1991</v>
      </c>
      <c r="L3" s="2" t="s">
        <v>1992</v>
      </c>
    </row>
    <row r="4" spans="1:12">
      <c r="A4" s="3">
        <v>1</v>
      </c>
      <c r="B4" s="4" t="s">
        <v>1230</v>
      </c>
      <c r="C4" s="4" t="s">
        <v>438</v>
      </c>
      <c r="D4" s="4" t="s">
        <v>440</v>
      </c>
      <c r="E4" s="4" t="s">
        <v>1407</v>
      </c>
      <c r="F4" s="4" t="s">
        <v>525</v>
      </c>
      <c r="G4" s="4" t="s">
        <v>525</v>
      </c>
      <c r="H4" s="4" t="s">
        <v>448</v>
      </c>
      <c r="I4" s="4" t="s">
        <v>1993</v>
      </c>
      <c r="J4" s="4" t="s">
        <v>1994</v>
      </c>
      <c r="K4" s="4" t="s">
        <v>126</v>
      </c>
      <c r="L4" s="3" t="s">
        <v>1995</v>
      </c>
    </row>
    <row r="5" ht="27" spans="1:12">
      <c r="A5" s="3">
        <v>2</v>
      </c>
      <c r="B5" s="4" t="s">
        <v>1230</v>
      </c>
      <c r="C5" s="4" t="s">
        <v>438</v>
      </c>
      <c r="D5" s="4" t="s">
        <v>440</v>
      </c>
      <c r="E5" s="4" t="s">
        <v>1413</v>
      </c>
      <c r="F5" s="4" t="s">
        <v>525</v>
      </c>
      <c r="G5" s="4" t="s">
        <v>525</v>
      </c>
      <c r="H5" s="4" t="s">
        <v>448</v>
      </c>
      <c r="I5" s="4" t="s">
        <v>1993</v>
      </c>
      <c r="J5" s="4" t="s">
        <v>1994</v>
      </c>
      <c r="K5" s="4" t="s">
        <v>126</v>
      </c>
      <c r="L5" s="3" t="s">
        <v>1995</v>
      </c>
    </row>
    <row r="6" spans="1:12">
      <c r="A6" s="3">
        <v>3</v>
      </c>
      <c r="B6" s="4" t="s">
        <v>1230</v>
      </c>
      <c r="C6" s="4" t="s">
        <v>438</v>
      </c>
      <c r="D6" s="4" t="s">
        <v>440</v>
      </c>
      <c r="E6" s="4" t="s">
        <v>1415</v>
      </c>
      <c r="F6" s="4" t="s">
        <v>527</v>
      </c>
      <c r="G6" s="4" t="s">
        <v>527</v>
      </c>
      <c r="H6" s="4" t="s">
        <v>448</v>
      </c>
      <c r="I6" s="4" t="s">
        <v>1993</v>
      </c>
      <c r="J6" s="4" t="s">
        <v>1994</v>
      </c>
      <c r="K6" s="4" t="s">
        <v>126</v>
      </c>
      <c r="L6" s="3" t="s">
        <v>1995</v>
      </c>
    </row>
    <row r="7" spans="1:12">
      <c r="A7" s="3">
        <v>4</v>
      </c>
      <c r="B7" s="4" t="s">
        <v>1230</v>
      </c>
      <c r="C7" s="4" t="s">
        <v>438</v>
      </c>
      <c r="D7" s="4" t="s">
        <v>440</v>
      </c>
      <c r="E7" s="4" t="s">
        <v>1418</v>
      </c>
      <c r="F7" s="4" t="s">
        <v>525</v>
      </c>
      <c r="G7" s="4" t="s">
        <v>525</v>
      </c>
      <c r="H7" s="4" t="s">
        <v>448</v>
      </c>
      <c r="I7" s="4" t="s">
        <v>1993</v>
      </c>
      <c r="J7" s="4" t="s">
        <v>1994</v>
      </c>
      <c r="K7" s="4" t="s">
        <v>126</v>
      </c>
      <c r="L7" s="3" t="s">
        <v>1995</v>
      </c>
    </row>
    <row r="8" spans="1:12">
      <c r="A8" s="3">
        <v>5</v>
      </c>
      <c r="B8" s="4" t="s">
        <v>1230</v>
      </c>
      <c r="C8" s="4" t="s">
        <v>438</v>
      </c>
      <c r="D8" s="4" t="s">
        <v>440</v>
      </c>
      <c r="E8" s="4" t="s">
        <v>1420</v>
      </c>
      <c r="F8" s="4" t="s">
        <v>521</v>
      </c>
      <c r="G8" s="4" t="s">
        <v>521</v>
      </c>
      <c r="H8" s="4" t="s">
        <v>448</v>
      </c>
      <c r="I8" s="4" t="s">
        <v>1993</v>
      </c>
      <c r="J8" s="4" t="s">
        <v>1994</v>
      </c>
      <c r="K8" s="4" t="s">
        <v>126</v>
      </c>
      <c r="L8" s="3" t="s">
        <v>1995</v>
      </c>
    </row>
    <row r="9" spans="1:12">
      <c r="A9" s="3">
        <v>6</v>
      </c>
      <c r="B9" s="4" t="s">
        <v>1230</v>
      </c>
      <c r="C9" s="4" t="s">
        <v>438</v>
      </c>
      <c r="D9" s="4" t="s">
        <v>440</v>
      </c>
      <c r="E9" s="4" t="s">
        <v>1423</v>
      </c>
      <c r="F9" s="4" t="s">
        <v>521</v>
      </c>
      <c r="G9" s="4" t="s">
        <v>521</v>
      </c>
      <c r="H9" s="4" t="s">
        <v>448</v>
      </c>
      <c r="I9" s="4" t="s">
        <v>1993</v>
      </c>
      <c r="J9" s="4" t="s">
        <v>1994</v>
      </c>
      <c r="K9" s="4" t="s">
        <v>126</v>
      </c>
      <c r="L9" s="3" t="s">
        <v>1995</v>
      </c>
    </row>
    <row r="10" spans="1:12">
      <c r="A10" s="3">
        <v>7</v>
      </c>
      <c r="B10" s="4" t="s">
        <v>1230</v>
      </c>
      <c r="C10" s="4" t="s">
        <v>438</v>
      </c>
      <c r="D10" s="4" t="s">
        <v>440</v>
      </c>
      <c r="E10" s="4" t="s">
        <v>1425</v>
      </c>
      <c r="F10" s="4" t="s">
        <v>527</v>
      </c>
      <c r="G10" s="4" t="s">
        <v>527</v>
      </c>
      <c r="H10" s="4" t="s">
        <v>448</v>
      </c>
      <c r="I10" s="4" t="s">
        <v>1993</v>
      </c>
      <c r="J10" s="4" t="s">
        <v>1994</v>
      </c>
      <c r="K10" s="4" t="s">
        <v>126</v>
      </c>
      <c r="L10" s="3" t="s">
        <v>1995</v>
      </c>
    </row>
    <row r="11" ht="27" spans="1:12">
      <c r="A11" s="3">
        <v>8</v>
      </c>
      <c r="B11" s="4" t="s">
        <v>1230</v>
      </c>
      <c r="C11" s="4" t="s">
        <v>438</v>
      </c>
      <c r="D11" s="4" t="s">
        <v>440</v>
      </c>
      <c r="E11" s="4" t="s">
        <v>1427</v>
      </c>
      <c r="F11" s="4" t="s">
        <v>527</v>
      </c>
      <c r="G11" s="4" t="s">
        <v>527</v>
      </c>
      <c r="H11" s="4" t="s">
        <v>448</v>
      </c>
      <c r="I11" s="4" t="s">
        <v>1993</v>
      </c>
      <c r="J11" s="4" t="s">
        <v>1994</v>
      </c>
      <c r="K11" s="4" t="s">
        <v>126</v>
      </c>
      <c r="L11" s="3" t="s">
        <v>1995</v>
      </c>
    </row>
    <row r="12" spans="1:12">
      <c r="A12" s="3">
        <v>9</v>
      </c>
      <c r="B12" s="4" t="s">
        <v>1230</v>
      </c>
      <c r="C12" s="4" t="s">
        <v>438</v>
      </c>
      <c r="D12" s="4" t="s">
        <v>440</v>
      </c>
      <c r="E12" s="4" t="s">
        <v>1429</v>
      </c>
      <c r="F12" s="4" t="s">
        <v>525</v>
      </c>
      <c r="G12" s="4" t="s">
        <v>525</v>
      </c>
      <c r="H12" s="4" t="s">
        <v>448</v>
      </c>
      <c r="I12" s="4" t="s">
        <v>1993</v>
      </c>
      <c r="J12" s="4" t="s">
        <v>1994</v>
      </c>
      <c r="K12" s="4" t="s">
        <v>126</v>
      </c>
      <c r="L12" s="3" t="s">
        <v>1995</v>
      </c>
    </row>
    <row r="13" ht="54" spans="1:12">
      <c r="A13" s="3">
        <v>10</v>
      </c>
      <c r="B13" s="4" t="s">
        <v>1230</v>
      </c>
      <c r="C13" s="4" t="s">
        <v>438</v>
      </c>
      <c r="D13" s="4" t="s">
        <v>440</v>
      </c>
      <c r="E13" s="4" t="s">
        <v>1431</v>
      </c>
      <c r="F13" s="4" t="s">
        <v>525</v>
      </c>
      <c r="G13" s="4" t="s">
        <v>525</v>
      </c>
      <c r="H13" s="4" t="s">
        <v>448</v>
      </c>
      <c r="I13" s="4" t="s">
        <v>1993</v>
      </c>
      <c r="J13" s="4" t="s">
        <v>1994</v>
      </c>
      <c r="K13" s="4" t="s">
        <v>126</v>
      </c>
      <c r="L13" s="3" t="s">
        <v>1995</v>
      </c>
    </row>
    <row r="14" ht="27" spans="1:12">
      <c r="A14" s="3">
        <v>11</v>
      </c>
      <c r="B14" s="4" t="s">
        <v>1230</v>
      </c>
      <c r="C14" s="4" t="s">
        <v>438</v>
      </c>
      <c r="D14" s="4" t="s">
        <v>440</v>
      </c>
      <c r="E14" s="4" t="s">
        <v>1433</v>
      </c>
      <c r="F14" s="4" t="s">
        <v>523</v>
      </c>
      <c r="G14" s="4" t="s">
        <v>523</v>
      </c>
      <c r="H14" s="4" t="s">
        <v>448</v>
      </c>
      <c r="I14" s="4" t="s">
        <v>1993</v>
      </c>
      <c r="J14" s="4" t="s">
        <v>1994</v>
      </c>
      <c r="K14" s="4" t="s">
        <v>126</v>
      </c>
      <c r="L14" s="3" t="s">
        <v>1995</v>
      </c>
    </row>
    <row r="15" spans="1:12">
      <c r="A15" s="3">
        <v>12</v>
      </c>
      <c r="B15" s="4" t="s">
        <v>1230</v>
      </c>
      <c r="C15" s="4" t="s">
        <v>438</v>
      </c>
      <c r="D15" s="4" t="s">
        <v>440</v>
      </c>
      <c r="E15" s="4" t="s">
        <v>1436</v>
      </c>
      <c r="F15" s="4" t="s">
        <v>520</v>
      </c>
      <c r="G15" s="4" t="s">
        <v>520</v>
      </c>
      <c r="H15" s="4" t="s">
        <v>448</v>
      </c>
      <c r="I15" s="4" t="s">
        <v>1993</v>
      </c>
      <c r="J15" s="4" t="s">
        <v>1994</v>
      </c>
      <c r="K15" s="4" t="s">
        <v>126</v>
      </c>
      <c r="L15" s="3" t="s">
        <v>1995</v>
      </c>
    </row>
    <row r="16" ht="40.5" spans="1:12">
      <c r="A16" s="3">
        <v>13</v>
      </c>
      <c r="B16" s="4" t="s">
        <v>1230</v>
      </c>
      <c r="C16" s="4" t="s">
        <v>438</v>
      </c>
      <c r="D16" s="4" t="s">
        <v>440</v>
      </c>
      <c r="E16" s="4" t="s">
        <v>1439</v>
      </c>
      <c r="F16" s="4" t="s">
        <v>520</v>
      </c>
      <c r="G16" s="4" t="s">
        <v>520</v>
      </c>
      <c r="H16" s="4" t="s">
        <v>448</v>
      </c>
      <c r="I16" s="4" t="s">
        <v>1993</v>
      </c>
      <c r="J16" s="4" t="s">
        <v>1994</v>
      </c>
      <c r="K16" s="4" t="s">
        <v>126</v>
      </c>
      <c r="L16" s="3" t="s">
        <v>1995</v>
      </c>
    </row>
    <row r="17" spans="1:12">
      <c r="A17" s="3">
        <v>14</v>
      </c>
      <c r="B17" s="4" t="s">
        <v>1230</v>
      </c>
      <c r="C17" s="4" t="s">
        <v>438</v>
      </c>
      <c r="D17" s="4" t="s">
        <v>440</v>
      </c>
      <c r="E17" s="4" t="s">
        <v>1441</v>
      </c>
      <c r="F17" s="4" t="s">
        <v>525</v>
      </c>
      <c r="G17" s="4" t="s">
        <v>525</v>
      </c>
      <c r="H17" s="4" t="s">
        <v>448</v>
      </c>
      <c r="I17" s="4" t="s">
        <v>1993</v>
      </c>
      <c r="J17" s="4" t="s">
        <v>1994</v>
      </c>
      <c r="K17" s="4" t="s">
        <v>126</v>
      </c>
      <c r="L17" s="3" t="s">
        <v>1995</v>
      </c>
    </row>
    <row r="18" spans="1:12">
      <c r="A18" s="3">
        <v>15</v>
      </c>
      <c r="B18" s="4" t="s">
        <v>1230</v>
      </c>
      <c r="C18" s="4" t="s">
        <v>438</v>
      </c>
      <c r="D18" s="4" t="s">
        <v>440</v>
      </c>
      <c r="E18" s="4" t="s">
        <v>1443</v>
      </c>
      <c r="F18" s="4" t="s">
        <v>521</v>
      </c>
      <c r="G18" s="4" t="s">
        <v>521</v>
      </c>
      <c r="H18" s="4" t="s">
        <v>448</v>
      </c>
      <c r="I18" s="4" t="s">
        <v>1993</v>
      </c>
      <c r="J18" s="4" t="s">
        <v>1994</v>
      </c>
      <c r="K18" s="4" t="s">
        <v>126</v>
      </c>
      <c r="L18" s="3" t="s">
        <v>1995</v>
      </c>
    </row>
    <row r="19" spans="1:12">
      <c r="A19" s="3">
        <v>16</v>
      </c>
      <c r="B19" s="4" t="s">
        <v>1230</v>
      </c>
      <c r="C19" s="4" t="s">
        <v>438</v>
      </c>
      <c r="D19" s="4" t="s">
        <v>440</v>
      </c>
      <c r="E19" s="4" t="s">
        <v>1445</v>
      </c>
      <c r="F19" s="4" t="s">
        <v>521</v>
      </c>
      <c r="G19" s="4" t="s">
        <v>521</v>
      </c>
      <c r="H19" s="4" t="s">
        <v>448</v>
      </c>
      <c r="I19" s="4" t="s">
        <v>1993</v>
      </c>
      <c r="J19" s="4" t="s">
        <v>1994</v>
      </c>
      <c r="K19" s="4" t="s">
        <v>126</v>
      </c>
      <c r="L19" s="3" t="s">
        <v>1995</v>
      </c>
    </row>
    <row r="20" spans="1:12">
      <c r="A20" s="3">
        <v>17</v>
      </c>
      <c r="B20" s="4" t="s">
        <v>1230</v>
      </c>
      <c r="C20" s="4" t="s">
        <v>438</v>
      </c>
      <c r="D20" s="4" t="s">
        <v>440</v>
      </c>
      <c r="E20" s="4" t="s">
        <v>1447</v>
      </c>
      <c r="F20" s="4" t="s">
        <v>523</v>
      </c>
      <c r="G20" s="4" t="s">
        <v>523</v>
      </c>
      <c r="H20" s="4" t="s">
        <v>448</v>
      </c>
      <c r="I20" s="4" t="s">
        <v>1993</v>
      </c>
      <c r="J20" s="4" t="s">
        <v>1994</v>
      </c>
      <c r="K20" s="4" t="s">
        <v>126</v>
      </c>
      <c r="L20" s="3" t="s">
        <v>1995</v>
      </c>
    </row>
    <row r="21" spans="1:12">
      <c r="A21" s="3">
        <v>18</v>
      </c>
      <c r="B21" s="4" t="s">
        <v>1230</v>
      </c>
      <c r="C21" s="4" t="s">
        <v>438</v>
      </c>
      <c r="D21" s="4" t="s">
        <v>440</v>
      </c>
      <c r="E21" s="4" t="s">
        <v>1449</v>
      </c>
      <c r="F21" s="4" t="s">
        <v>527</v>
      </c>
      <c r="G21" s="4" t="s">
        <v>527</v>
      </c>
      <c r="H21" s="4" t="s">
        <v>448</v>
      </c>
      <c r="I21" s="4" t="s">
        <v>1993</v>
      </c>
      <c r="J21" s="4" t="s">
        <v>1994</v>
      </c>
      <c r="K21" s="4" t="s">
        <v>126</v>
      </c>
      <c r="L21" s="3" t="s">
        <v>1995</v>
      </c>
    </row>
    <row r="22" ht="27" spans="1:12">
      <c r="A22" s="3">
        <v>19</v>
      </c>
      <c r="B22" s="4" t="s">
        <v>1230</v>
      </c>
      <c r="C22" s="4" t="s">
        <v>438</v>
      </c>
      <c r="D22" s="4" t="s">
        <v>440</v>
      </c>
      <c r="E22" s="4" t="s">
        <v>1451</v>
      </c>
      <c r="F22" s="4" t="s">
        <v>525</v>
      </c>
      <c r="G22" s="4" t="s">
        <v>525</v>
      </c>
      <c r="H22" s="4" t="s">
        <v>448</v>
      </c>
      <c r="I22" s="4" t="s">
        <v>1993</v>
      </c>
      <c r="J22" s="4" t="s">
        <v>1994</v>
      </c>
      <c r="K22" s="4" t="s">
        <v>126</v>
      </c>
      <c r="L22" s="3" t="s">
        <v>1995</v>
      </c>
    </row>
    <row r="23" spans="1:12">
      <c r="A23" s="3">
        <v>20</v>
      </c>
      <c r="B23" s="4" t="s">
        <v>1230</v>
      </c>
      <c r="C23" s="4" t="s">
        <v>438</v>
      </c>
      <c r="D23" s="4" t="s">
        <v>440</v>
      </c>
      <c r="E23" s="4" t="s">
        <v>1458</v>
      </c>
      <c r="F23" s="4" t="s">
        <v>525</v>
      </c>
      <c r="G23" s="4" t="s">
        <v>525</v>
      </c>
      <c r="H23" s="4" t="s">
        <v>448</v>
      </c>
      <c r="I23" s="4" t="s">
        <v>1993</v>
      </c>
      <c r="J23" s="4" t="s">
        <v>1994</v>
      </c>
      <c r="K23" s="4" t="s">
        <v>126</v>
      </c>
      <c r="L23" s="3" t="s">
        <v>1995</v>
      </c>
    </row>
    <row r="24" ht="27" spans="1:12">
      <c r="A24" s="3">
        <v>21</v>
      </c>
      <c r="B24" s="4" t="s">
        <v>1230</v>
      </c>
      <c r="C24" s="4" t="s">
        <v>438</v>
      </c>
      <c r="D24" s="4" t="s">
        <v>440</v>
      </c>
      <c r="E24" s="4" t="s">
        <v>1460</v>
      </c>
      <c r="F24" s="4" t="s">
        <v>523</v>
      </c>
      <c r="G24" s="4" t="s">
        <v>523</v>
      </c>
      <c r="H24" s="4" t="s">
        <v>448</v>
      </c>
      <c r="I24" s="4" t="s">
        <v>1993</v>
      </c>
      <c r="J24" s="4" t="s">
        <v>1994</v>
      </c>
      <c r="K24" s="4" t="s">
        <v>126</v>
      </c>
      <c r="L24" s="3" t="s">
        <v>1995</v>
      </c>
    </row>
    <row r="25" spans="1:12">
      <c r="A25" s="3">
        <v>22</v>
      </c>
      <c r="B25" s="4" t="s">
        <v>1230</v>
      </c>
      <c r="C25" s="4" t="s">
        <v>438</v>
      </c>
      <c r="D25" s="4" t="s">
        <v>440</v>
      </c>
      <c r="E25" s="4" t="s">
        <v>1464</v>
      </c>
      <c r="F25" s="4" t="s">
        <v>527</v>
      </c>
      <c r="G25" s="4" t="s">
        <v>527</v>
      </c>
      <c r="H25" s="4" t="s">
        <v>448</v>
      </c>
      <c r="I25" s="4" t="s">
        <v>1993</v>
      </c>
      <c r="J25" s="4" t="s">
        <v>1994</v>
      </c>
      <c r="K25" s="4" t="s">
        <v>126</v>
      </c>
      <c r="L25" s="3" t="s">
        <v>1995</v>
      </c>
    </row>
    <row r="26" spans="1:12">
      <c r="A26" s="3">
        <v>23</v>
      </c>
      <c r="B26" s="4" t="s">
        <v>1230</v>
      </c>
      <c r="C26" s="4" t="s">
        <v>438</v>
      </c>
      <c r="D26" s="4" t="s">
        <v>440</v>
      </c>
      <c r="E26" s="4" t="s">
        <v>1466</v>
      </c>
      <c r="F26" s="4" t="s">
        <v>521</v>
      </c>
      <c r="G26" s="4" t="s">
        <v>521</v>
      </c>
      <c r="H26" s="4" t="s">
        <v>448</v>
      </c>
      <c r="I26" s="4" t="s">
        <v>1993</v>
      </c>
      <c r="J26" s="4" t="s">
        <v>1994</v>
      </c>
      <c r="K26" s="4" t="s">
        <v>126</v>
      </c>
      <c r="L26" s="3" t="s">
        <v>1995</v>
      </c>
    </row>
    <row r="27" spans="1:12">
      <c r="A27" s="3">
        <v>24</v>
      </c>
      <c r="B27" s="4" t="s">
        <v>1230</v>
      </c>
      <c r="C27" s="4" t="s">
        <v>438</v>
      </c>
      <c r="D27" s="4" t="s">
        <v>440</v>
      </c>
      <c r="E27" s="4" t="s">
        <v>1468</v>
      </c>
      <c r="F27" s="4" t="s">
        <v>518</v>
      </c>
      <c r="G27" s="4" t="s">
        <v>518</v>
      </c>
      <c r="H27" s="4" t="s">
        <v>448</v>
      </c>
      <c r="I27" s="4" t="s">
        <v>1993</v>
      </c>
      <c r="J27" s="4" t="s">
        <v>1994</v>
      </c>
      <c r="K27" s="4" t="s">
        <v>126</v>
      </c>
      <c r="L27" s="3" t="s">
        <v>1995</v>
      </c>
    </row>
    <row r="28" ht="27" spans="1:12">
      <c r="A28" s="3">
        <v>25</v>
      </c>
      <c r="B28" s="4" t="s">
        <v>1230</v>
      </c>
      <c r="C28" s="4" t="s">
        <v>438</v>
      </c>
      <c r="D28" s="4" t="s">
        <v>440</v>
      </c>
      <c r="E28" s="4" t="s">
        <v>1471</v>
      </c>
      <c r="F28" s="4" t="s">
        <v>527</v>
      </c>
      <c r="G28" s="4" t="s">
        <v>527</v>
      </c>
      <c r="H28" s="4" t="s">
        <v>448</v>
      </c>
      <c r="I28" s="4" t="s">
        <v>1993</v>
      </c>
      <c r="J28" s="4" t="s">
        <v>1994</v>
      </c>
      <c r="K28" s="4" t="s">
        <v>126</v>
      </c>
      <c r="L28" s="3" t="s">
        <v>1995</v>
      </c>
    </row>
    <row r="29" spans="1:12">
      <c r="A29" s="3">
        <v>26</v>
      </c>
      <c r="B29" s="4" t="s">
        <v>1230</v>
      </c>
      <c r="C29" s="4" t="s">
        <v>438</v>
      </c>
      <c r="D29" s="4" t="s">
        <v>440</v>
      </c>
      <c r="E29" s="4" t="s">
        <v>1473</v>
      </c>
      <c r="F29" s="4" t="s">
        <v>525</v>
      </c>
      <c r="G29" s="4" t="s">
        <v>525</v>
      </c>
      <c r="H29" s="4" t="s">
        <v>448</v>
      </c>
      <c r="I29" s="4" t="s">
        <v>1993</v>
      </c>
      <c r="J29" s="4" t="s">
        <v>1994</v>
      </c>
      <c r="K29" s="4" t="s">
        <v>126</v>
      </c>
      <c r="L29" s="3" t="s">
        <v>1995</v>
      </c>
    </row>
    <row r="30" ht="27" spans="1:12">
      <c r="A30" s="3">
        <v>27</v>
      </c>
      <c r="B30" s="4" t="s">
        <v>1230</v>
      </c>
      <c r="C30" s="4" t="s">
        <v>438</v>
      </c>
      <c r="D30" s="4" t="s">
        <v>440</v>
      </c>
      <c r="E30" s="4" t="s">
        <v>1475</v>
      </c>
      <c r="F30" s="4" t="s">
        <v>520</v>
      </c>
      <c r="G30" s="4" t="s">
        <v>520</v>
      </c>
      <c r="H30" s="4" t="s">
        <v>448</v>
      </c>
      <c r="I30" s="4" t="s">
        <v>1993</v>
      </c>
      <c r="J30" s="4" t="s">
        <v>1994</v>
      </c>
      <c r="K30" s="4" t="s">
        <v>126</v>
      </c>
      <c r="L30" s="3" t="s">
        <v>1995</v>
      </c>
    </row>
    <row r="31" spans="1:12">
      <c r="A31" s="3">
        <v>28</v>
      </c>
      <c r="B31" s="4" t="s">
        <v>1230</v>
      </c>
      <c r="C31" s="4" t="s">
        <v>438</v>
      </c>
      <c r="D31" s="4" t="s">
        <v>440</v>
      </c>
      <c r="E31" s="4" t="s">
        <v>1477</v>
      </c>
      <c r="F31" s="4" t="s">
        <v>518</v>
      </c>
      <c r="G31" s="4" t="s">
        <v>518</v>
      </c>
      <c r="H31" s="4" t="s">
        <v>448</v>
      </c>
      <c r="I31" s="4" t="s">
        <v>1993</v>
      </c>
      <c r="J31" s="4" t="s">
        <v>1994</v>
      </c>
      <c r="K31" s="4" t="s">
        <v>126</v>
      </c>
      <c r="L31" s="3" t="s">
        <v>1995</v>
      </c>
    </row>
    <row r="32" spans="1:12">
      <c r="A32" s="3">
        <v>29</v>
      </c>
      <c r="B32" s="4" t="s">
        <v>1230</v>
      </c>
      <c r="C32" s="4" t="s">
        <v>438</v>
      </c>
      <c r="D32" s="4" t="s">
        <v>440</v>
      </c>
      <c r="E32" s="4" t="s">
        <v>1479</v>
      </c>
      <c r="F32" s="4" t="s">
        <v>525</v>
      </c>
      <c r="G32" s="4" t="s">
        <v>525</v>
      </c>
      <c r="H32" s="4" t="s">
        <v>448</v>
      </c>
      <c r="I32" s="4" t="s">
        <v>1993</v>
      </c>
      <c r="J32" s="4" t="s">
        <v>1994</v>
      </c>
      <c r="K32" s="4" t="s">
        <v>126</v>
      </c>
      <c r="L32" s="3" t="s">
        <v>1995</v>
      </c>
    </row>
    <row r="33" spans="1:12">
      <c r="A33" s="3">
        <v>30</v>
      </c>
      <c r="B33" s="4" t="s">
        <v>1230</v>
      </c>
      <c r="C33" s="4" t="s">
        <v>438</v>
      </c>
      <c r="D33" s="4" t="s">
        <v>440</v>
      </c>
      <c r="E33" s="4" t="s">
        <v>1481</v>
      </c>
      <c r="F33" s="4" t="s">
        <v>523</v>
      </c>
      <c r="G33" s="4" t="s">
        <v>523</v>
      </c>
      <c r="H33" s="4" t="s">
        <v>448</v>
      </c>
      <c r="I33" s="4" t="s">
        <v>1993</v>
      </c>
      <c r="J33" s="4" t="s">
        <v>1994</v>
      </c>
      <c r="K33" s="4" t="s">
        <v>126</v>
      </c>
      <c r="L33" s="3" t="s">
        <v>1995</v>
      </c>
    </row>
    <row r="34" spans="1:12">
      <c r="A34" s="3">
        <v>31</v>
      </c>
      <c r="B34" s="4" t="s">
        <v>1230</v>
      </c>
      <c r="C34" s="4" t="s">
        <v>438</v>
      </c>
      <c r="D34" s="4" t="s">
        <v>440</v>
      </c>
      <c r="E34" s="4" t="s">
        <v>1483</v>
      </c>
      <c r="F34" s="4" t="s">
        <v>520</v>
      </c>
      <c r="G34" s="4" t="s">
        <v>520</v>
      </c>
      <c r="H34" s="4" t="s">
        <v>448</v>
      </c>
      <c r="I34" s="4" t="s">
        <v>1993</v>
      </c>
      <c r="J34" s="4" t="s">
        <v>1994</v>
      </c>
      <c r="K34" s="4" t="s">
        <v>126</v>
      </c>
      <c r="L34" s="3" t="s">
        <v>1995</v>
      </c>
    </row>
    <row r="35" spans="1:12">
      <c r="A35" s="3">
        <v>32</v>
      </c>
      <c r="B35" s="4" t="s">
        <v>1230</v>
      </c>
      <c r="C35" s="4" t="s">
        <v>438</v>
      </c>
      <c r="D35" s="4" t="s">
        <v>440</v>
      </c>
      <c r="E35" s="4" t="s">
        <v>1485</v>
      </c>
      <c r="F35" s="4" t="s">
        <v>525</v>
      </c>
      <c r="G35" s="4" t="s">
        <v>525</v>
      </c>
      <c r="H35" s="4" t="s">
        <v>448</v>
      </c>
      <c r="I35" s="4" t="s">
        <v>1993</v>
      </c>
      <c r="J35" s="4" t="s">
        <v>1994</v>
      </c>
      <c r="K35" s="4" t="s">
        <v>126</v>
      </c>
      <c r="L35" s="3" t="s">
        <v>1995</v>
      </c>
    </row>
    <row r="36" spans="1:12">
      <c r="A36" s="3">
        <v>33</v>
      </c>
      <c r="B36" s="4" t="s">
        <v>1230</v>
      </c>
      <c r="C36" s="4" t="s">
        <v>438</v>
      </c>
      <c r="D36" s="4" t="s">
        <v>440</v>
      </c>
      <c r="E36" s="4" t="s">
        <v>1487</v>
      </c>
      <c r="F36" s="4" t="s">
        <v>525</v>
      </c>
      <c r="G36" s="4" t="s">
        <v>525</v>
      </c>
      <c r="H36" s="4" t="s">
        <v>448</v>
      </c>
      <c r="I36" s="4" t="s">
        <v>1993</v>
      </c>
      <c r="J36" s="4" t="s">
        <v>1994</v>
      </c>
      <c r="K36" s="4" t="s">
        <v>126</v>
      </c>
      <c r="L36" s="3" t="s">
        <v>1995</v>
      </c>
    </row>
    <row r="37" spans="1:12">
      <c r="A37" s="3">
        <v>34</v>
      </c>
      <c r="B37" s="4" t="s">
        <v>1230</v>
      </c>
      <c r="C37" s="4" t="s">
        <v>438</v>
      </c>
      <c r="D37" s="4" t="s">
        <v>440</v>
      </c>
      <c r="E37" s="4" t="s">
        <v>1489</v>
      </c>
      <c r="F37" s="4" t="s">
        <v>518</v>
      </c>
      <c r="G37" s="4" t="s">
        <v>518</v>
      </c>
      <c r="H37" s="4" t="s">
        <v>448</v>
      </c>
      <c r="I37" s="4" t="s">
        <v>1993</v>
      </c>
      <c r="J37" s="4" t="s">
        <v>1994</v>
      </c>
      <c r="K37" s="4" t="s">
        <v>126</v>
      </c>
      <c r="L37" s="3" t="s">
        <v>1995</v>
      </c>
    </row>
    <row r="38" spans="1:12">
      <c r="A38" s="3">
        <v>35</v>
      </c>
      <c r="B38" s="4" t="s">
        <v>1230</v>
      </c>
      <c r="C38" s="4" t="s">
        <v>438</v>
      </c>
      <c r="D38" s="4" t="s">
        <v>440</v>
      </c>
      <c r="E38" s="4" t="s">
        <v>1491</v>
      </c>
      <c r="F38" s="4" t="s">
        <v>521</v>
      </c>
      <c r="G38" s="4" t="s">
        <v>521</v>
      </c>
      <c r="H38" s="4" t="s">
        <v>448</v>
      </c>
      <c r="I38" s="4" t="s">
        <v>1993</v>
      </c>
      <c r="J38" s="4" t="s">
        <v>1994</v>
      </c>
      <c r="K38" s="4" t="s">
        <v>126</v>
      </c>
      <c r="L38" s="3" t="s">
        <v>1995</v>
      </c>
    </row>
    <row r="39" spans="1:12">
      <c r="A39" s="3">
        <v>36</v>
      </c>
      <c r="B39" s="4" t="s">
        <v>1230</v>
      </c>
      <c r="C39" s="4" t="s">
        <v>438</v>
      </c>
      <c r="D39" s="4" t="s">
        <v>440</v>
      </c>
      <c r="E39" s="4" t="s">
        <v>1499</v>
      </c>
      <c r="F39" s="4" t="s">
        <v>525</v>
      </c>
      <c r="G39" s="4" t="s">
        <v>525</v>
      </c>
      <c r="H39" s="4" t="s">
        <v>448</v>
      </c>
      <c r="I39" s="4" t="s">
        <v>1993</v>
      </c>
      <c r="J39" s="4" t="s">
        <v>1994</v>
      </c>
      <c r="K39" s="4" t="s">
        <v>126</v>
      </c>
      <c r="L39" s="3" t="s">
        <v>1995</v>
      </c>
    </row>
    <row r="40" ht="40.5" spans="1:12">
      <c r="A40" s="3">
        <v>37</v>
      </c>
      <c r="B40" s="4" t="s">
        <v>1230</v>
      </c>
      <c r="C40" s="4" t="s">
        <v>438</v>
      </c>
      <c r="D40" s="4" t="s">
        <v>440</v>
      </c>
      <c r="E40" s="4" t="s">
        <v>1501</v>
      </c>
      <c r="F40" s="4" t="s">
        <v>521</v>
      </c>
      <c r="G40" s="4" t="s">
        <v>521</v>
      </c>
      <c r="H40" s="4" t="s">
        <v>448</v>
      </c>
      <c r="I40" s="4" t="s">
        <v>1993</v>
      </c>
      <c r="J40" s="4" t="s">
        <v>1994</v>
      </c>
      <c r="K40" s="4" t="s">
        <v>126</v>
      </c>
      <c r="L40" s="3" t="s">
        <v>1995</v>
      </c>
    </row>
    <row r="41" spans="1:12">
      <c r="A41" s="3">
        <v>38</v>
      </c>
      <c r="B41" s="4" t="s">
        <v>1230</v>
      </c>
      <c r="C41" s="4" t="s">
        <v>438</v>
      </c>
      <c r="D41" s="4" t="s">
        <v>440</v>
      </c>
      <c r="E41" s="4" t="s">
        <v>1503</v>
      </c>
      <c r="F41" s="4" t="s">
        <v>525</v>
      </c>
      <c r="G41" s="4" t="s">
        <v>525</v>
      </c>
      <c r="H41" s="4" t="s">
        <v>448</v>
      </c>
      <c r="I41" s="4" t="s">
        <v>1993</v>
      </c>
      <c r="J41" s="4" t="s">
        <v>1994</v>
      </c>
      <c r="K41" s="4" t="s">
        <v>126</v>
      </c>
      <c r="L41" s="3" t="s">
        <v>1995</v>
      </c>
    </row>
    <row r="42" spans="1:12">
      <c r="A42" s="3">
        <v>39</v>
      </c>
      <c r="B42" s="4" t="s">
        <v>1230</v>
      </c>
      <c r="C42" s="4" t="s">
        <v>438</v>
      </c>
      <c r="D42" s="4" t="s">
        <v>440</v>
      </c>
      <c r="E42" s="4" t="s">
        <v>1505</v>
      </c>
      <c r="F42" s="4" t="s">
        <v>521</v>
      </c>
      <c r="G42" s="4" t="s">
        <v>521</v>
      </c>
      <c r="H42" s="4" t="s">
        <v>448</v>
      </c>
      <c r="I42" s="4" t="s">
        <v>1993</v>
      </c>
      <c r="J42" s="4" t="s">
        <v>1994</v>
      </c>
      <c r="K42" s="4" t="s">
        <v>126</v>
      </c>
      <c r="L42" s="3" t="s">
        <v>1995</v>
      </c>
    </row>
    <row r="43" spans="1:12">
      <c r="A43" s="3">
        <v>40</v>
      </c>
      <c r="B43" s="4" t="s">
        <v>1230</v>
      </c>
      <c r="C43" s="4" t="s">
        <v>438</v>
      </c>
      <c r="D43" s="4" t="s">
        <v>440</v>
      </c>
      <c r="E43" s="4" t="s">
        <v>1507</v>
      </c>
      <c r="F43" s="4" t="s">
        <v>521</v>
      </c>
      <c r="G43" s="4" t="s">
        <v>521</v>
      </c>
      <c r="H43" s="4" t="s">
        <v>448</v>
      </c>
      <c r="I43" s="4" t="s">
        <v>1993</v>
      </c>
      <c r="J43" s="4" t="s">
        <v>1994</v>
      </c>
      <c r="K43" s="4" t="s">
        <v>126</v>
      </c>
      <c r="L43" s="3" t="s">
        <v>1995</v>
      </c>
    </row>
    <row r="44" spans="1:12">
      <c r="A44" s="3">
        <v>41</v>
      </c>
      <c r="B44" s="4" t="s">
        <v>1230</v>
      </c>
      <c r="C44" s="4" t="s">
        <v>438</v>
      </c>
      <c r="D44" s="4" t="s">
        <v>440</v>
      </c>
      <c r="E44" s="4" t="s">
        <v>1509</v>
      </c>
      <c r="F44" s="4" t="s">
        <v>525</v>
      </c>
      <c r="G44" s="4" t="s">
        <v>525</v>
      </c>
      <c r="H44" s="4" t="s">
        <v>448</v>
      </c>
      <c r="I44" s="4" t="s">
        <v>1993</v>
      </c>
      <c r="J44" s="4" t="s">
        <v>1994</v>
      </c>
      <c r="K44" s="4" t="s">
        <v>126</v>
      </c>
      <c r="L44" s="3" t="s">
        <v>1995</v>
      </c>
    </row>
    <row r="45" ht="27" spans="1:12">
      <c r="A45" s="3">
        <v>42</v>
      </c>
      <c r="B45" s="4" t="s">
        <v>1230</v>
      </c>
      <c r="C45" s="4" t="s">
        <v>438</v>
      </c>
      <c r="D45" s="4" t="s">
        <v>440</v>
      </c>
      <c r="E45" s="4" t="s">
        <v>1511</v>
      </c>
      <c r="F45" s="4" t="s">
        <v>525</v>
      </c>
      <c r="G45" s="4" t="s">
        <v>525</v>
      </c>
      <c r="H45" s="4" t="s">
        <v>448</v>
      </c>
      <c r="I45" s="4" t="s">
        <v>1993</v>
      </c>
      <c r="J45" s="4" t="s">
        <v>1994</v>
      </c>
      <c r="K45" s="4" t="s">
        <v>126</v>
      </c>
      <c r="L45" s="3" t="s">
        <v>1995</v>
      </c>
    </row>
    <row r="46" spans="1:12">
      <c r="A46" s="3">
        <v>43</v>
      </c>
      <c r="B46" s="4" t="s">
        <v>1230</v>
      </c>
      <c r="C46" s="4" t="s">
        <v>438</v>
      </c>
      <c r="D46" s="4" t="s">
        <v>440</v>
      </c>
      <c r="E46" s="4" t="s">
        <v>1513</v>
      </c>
      <c r="F46" s="4" t="s">
        <v>527</v>
      </c>
      <c r="G46" s="4" t="s">
        <v>527</v>
      </c>
      <c r="H46" s="4" t="s">
        <v>448</v>
      </c>
      <c r="I46" s="4" t="s">
        <v>1993</v>
      </c>
      <c r="J46" s="4" t="s">
        <v>1994</v>
      </c>
      <c r="K46" s="4" t="s">
        <v>126</v>
      </c>
      <c r="L46" s="3" t="s">
        <v>1995</v>
      </c>
    </row>
    <row r="47" spans="1:12">
      <c r="A47" s="3">
        <v>44</v>
      </c>
      <c r="B47" s="4" t="s">
        <v>1230</v>
      </c>
      <c r="C47" s="4" t="s">
        <v>438</v>
      </c>
      <c r="D47" s="4" t="s">
        <v>440</v>
      </c>
      <c r="E47" s="4" t="s">
        <v>1515</v>
      </c>
      <c r="F47" s="4" t="s">
        <v>520</v>
      </c>
      <c r="G47" s="4" t="s">
        <v>520</v>
      </c>
      <c r="H47" s="4" t="s">
        <v>448</v>
      </c>
      <c r="I47" s="4" t="s">
        <v>1993</v>
      </c>
      <c r="J47" s="4" t="s">
        <v>1994</v>
      </c>
      <c r="K47" s="4" t="s">
        <v>126</v>
      </c>
      <c r="L47" s="3" t="s">
        <v>1995</v>
      </c>
    </row>
    <row r="48" spans="1:12">
      <c r="A48" s="3">
        <v>45</v>
      </c>
      <c r="B48" s="4" t="s">
        <v>1230</v>
      </c>
      <c r="C48" s="4" t="s">
        <v>438</v>
      </c>
      <c r="D48" s="4" t="s">
        <v>440</v>
      </c>
      <c r="E48" s="4" t="s">
        <v>1517</v>
      </c>
      <c r="F48" s="4" t="s">
        <v>525</v>
      </c>
      <c r="G48" s="4" t="s">
        <v>525</v>
      </c>
      <c r="H48" s="4" t="s">
        <v>448</v>
      </c>
      <c r="I48" s="4" t="s">
        <v>1993</v>
      </c>
      <c r="J48" s="4" t="s">
        <v>1994</v>
      </c>
      <c r="K48" s="4" t="s">
        <v>126</v>
      </c>
      <c r="L48" s="3" t="s">
        <v>1995</v>
      </c>
    </row>
    <row r="49" spans="1:12">
      <c r="A49" s="3">
        <v>46</v>
      </c>
      <c r="B49" s="4" t="s">
        <v>1230</v>
      </c>
      <c r="C49" s="4" t="s">
        <v>438</v>
      </c>
      <c r="D49" s="4" t="s">
        <v>440</v>
      </c>
      <c r="E49" s="4" t="s">
        <v>1519</v>
      </c>
      <c r="F49" s="4" t="s">
        <v>520</v>
      </c>
      <c r="G49" s="4" t="s">
        <v>520</v>
      </c>
      <c r="H49" s="4" t="s">
        <v>448</v>
      </c>
      <c r="I49" s="4" t="s">
        <v>1993</v>
      </c>
      <c r="J49" s="4" t="s">
        <v>1994</v>
      </c>
      <c r="K49" s="4" t="s">
        <v>126</v>
      </c>
      <c r="L49" s="3" t="s">
        <v>1995</v>
      </c>
    </row>
    <row r="50" spans="1:12">
      <c r="A50" s="3">
        <v>47</v>
      </c>
      <c r="B50" s="4" t="s">
        <v>1230</v>
      </c>
      <c r="C50" s="4" t="s">
        <v>438</v>
      </c>
      <c r="D50" s="4" t="s">
        <v>440</v>
      </c>
      <c r="E50" s="4" t="s">
        <v>1521</v>
      </c>
      <c r="F50" s="4" t="s">
        <v>521</v>
      </c>
      <c r="G50" s="4" t="s">
        <v>521</v>
      </c>
      <c r="H50" s="4" t="s">
        <v>448</v>
      </c>
      <c r="I50" s="4" t="s">
        <v>1993</v>
      </c>
      <c r="J50" s="4" t="s">
        <v>1994</v>
      </c>
      <c r="K50" s="4" t="s">
        <v>126</v>
      </c>
      <c r="L50" s="3" t="s">
        <v>1995</v>
      </c>
    </row>
    <row r="51" spans="1:12">
      <c r="A51" s="3">
        <v>48</v>
      </c>
      <c r="B51" s="4" t="s">
        <v>1230</v>
      </c>
      <c r="C51" s="4" t="s">
        <v>438</v>
      </c>
      <c r="D51" s="4" t="s">
        <v>440</v>
      </c>
      <c r="E51" s="4" t="s">
        <v>1523</v>
      </c>
      <c r="F51" s="4" t="s">
        <v>521</v>
      </c>
      <c r="G51" s="4" t="s">
        <v>521</v>
      </c>
      <c r="H51" s="4" t="s">
        <v>448</v>
      </c>
      <c r="I51" s="4" t="s">
        <v>1993</v>
      </c>
      <c r="J51" s="4" t="s">
        <v>1994</v>
      </c>
      <c r="K51" s="4" t="s">
        <v>126</v>
      </c>
      <c r="L51" s="3" t="s">
        <v>1995</v>
      </c>
    </row>
    <row r="52" spans="1:12">
      <c r="A52" s="3">
        <v>49</v>
      </c>
      <c r="B52" s="4" t="s">
        <v>1230</v>
      </c>
      <c r="C52" s="4" t="s">
        <v>438</v>
      </c>
      <c r="D52" s="4" t="s">
        <v>440</v>
      </c>
      <c r="E52" s="4" t="s">
        <v>1525</v>
      </c>
      <c r="F52" s="4" t="s">
        <v>527</v>
      </c>
      <c r="G52" s="4" t="s">
        <v>527</v>
      </c>
      <c r="H52" s="4" t="s">
        <v>448</v>
      </c>
      <c r="I52" s="4" t="s">
        <v>1993</v>
      </c>
      <c r="J52" s="4" t="s">
        <v>1994</v>
      </c>
      <c r="K52" s="4" t="s">
        <v>126</v>
      </c>
      <c r="L52" s="3" t="s">
        <v>1995</v>
      </c>
    </row>
    <row r="53" spans="1:12">
      <c r="A53" s="3">
        <v>50</v>
      </c>
      <c r="B53" s="4" t="s">
        <v>1230</v>
      </c>
      <c r="C53" s="4" t="s">
        <v>438</v>
      </c>
      <c r="D53" s="4" t="s">
        <v>440</v>
      </c>
      <c r="E53" s="4" t="s">
        <v>1527</v>
      </c>
      <c r="F53" s="4" t="s">
        <v>521</v>
      </c>
      <c r="G53" s="4" t="s">
        <v>521</v>
      </c>
      <c r="H53" s="4" t="s">
        <v>448</v>
      </c>
      <c r="I53" s="4" t="s">
        <v>1993</v>
      </c>
      <c r="J53" s="4" t="s">
        <v>1994</v>
      </c>
      <c r="K53" s="4" t="s">
        <v>126</v>
      </c>
      <c r="L53" s="3" t="s">
        <v>1995</v>
      </c>
    </row>
    <row r="54" ht="27" spans="1:12">
      <c r="A54" s="3">
        <v>51</v>
      </c>
      <c r="B54" s="4" t="s">
        <v>1230</v>
      </c>
      <c r="C54" s="4" t="s">
        <v>438</v>
      </c>
      <c r="D54" s="4" t="s">
        <v>440</v>
      </c>
      <c r="E54" s="4" t="s">
        <v>1529</v>
      </c>
      <c r="F54" s="4" t="s">
        <v>525</v>
      </c>
      <c r="G54" s="4" t="s">
        <v>525</v>
      </c>
      <c r="H54" s="4" t="s">
        <v>448</v>
      </c>
      <c r="I54" s="4" t="s">
        <v>1993</v>
      </c>
      <c r="J54" s="4" t="s">
        <v>1994</v>
      </c>
      <c r="K54" s="4" t="s">
        <v>126</v>
      </c>
      <c r="L54" s="3" t="s">
        <v>1995</v>
      </c>
    </row>
    <row r="55" ht="27" spans="1:12">
      <c r="A55" s="3">
        <v>52</v>
      </c>
      <c r="B55" s="4" t="s">
        <v>1230</v>
      </c>
      <c r="C55" s="4" t="s">
        <v>438</v>
      </c>
      <c r="D55" s="4" t="s">
        <v>440</v>
      </c>
      <c r="E55" s="4" t="s">
        <v>1531</v>
      </c>
      <c r="F55" s="4" t="s">
        <v>525</v>
      </c>
      <c r="G55" s="4" t="s">
        <v>525</v>
      </c>
      <c r="H55" s="4" t="s">
        <v>448</v>
      </c>
      <c r="I55" s="4" t="s">
        <v>1993</v>
      </c>
      <c r="J55" s="4" t="s">
        <v>1994</v>
      </c>
      <c r="K55" s="4" t="s">
        <v>126</v>
      </c>
      <c r="L55" s="3" t="s">
        <v>1995</v>
      </c>
    </row>
    <row r="56" spans="1:12">
      <c r="A56" s="3">
        <v>53</v>
      </c>
      <c r="B56" s="4" t="s">
        <v>1230</v>
      </c>
      <c r="C56" s="4" t="s">
        <v>438</v>
      </c>
      <c r="D56" s="4" t="s">
        <v>440</v>
      </c>
      <c r="E56" s="4" t="s">
        <v>1533</v>
      </c>
      <c r="F56" s="4" t="s">
        <v>525</v>
      </c>
      <c r="G56" s="4" t="s">
        <v>525</v>
      </c>
      <c r="H56" s="4" t="s">
        <v>448</v>
      </c>
      <c r="I56" s="4" t="s">
        <v>1993</v>
      </c>
      <c r="J56" s="4" t="s">
        <v>1994</v>
      </c>
      <c r="K56" s="4" t="s">
        <v>126</v>
      </c>
      <c r="L56" s="3" t="s">
        <v>1995</v>
      </c>
    </row>
    <row r="57" ht="27" spans="1:12">
      <c r="A57" s="3">
        <v>54</v>
      </c>
      <c r="B57" s="4" t="s">
        <v>1230</v>
      </c>
      <c r="C57" s="4" t="s">
        <v>438</v>
      </c>
      <c r="D57" s="4" t="s">
        <v>440</v>
      </c>
      <c r="E57" s="4" t="s">
        <v>1535</v>
      </c>
      <c r="F57" s="4" t="s">
        <v>525</v>
      </c>
      <c r="G57" s="4" t="s">
        <v>525</v>
      </c>
      <c r="H57" s="4" t="s">
        <v>448</v>
      </c>
      <c r="I57" s="4" t="s">
        <v>1993</v>
      </c>
      <c r="J57" s="4" t="s">
        <v>1994</v>
      </c>
      <c r="K57" s="4" t="s">
        <v>126</v>
      </c>
      <c r="L57" s="3" t="s">
        <v>1995</v>
      </c>
    </row>
    <row r="58" spans="1:12">
      <c r="A58" s="3">
        <v>55</v>
      </c>
      <c r="B58" s="4" t="s">
        <v>1230</v>
      </c>
      <c r="C58" s="4" t="s">
        <v>438</v>
      </c>
      <c r="D58" s="4" t="s">
        <v>440</v>
      </c>
      <c r="E58" s="4" t="s">
        <v>1537</v>
      </c>
      <c r="F58" s="4" t="s">
        <v>525</v>
      </c>
      <c r="G58" s="4" t="s">
        <v>525</v>
      </c>
      <c r="H58" s="4" t="s">
        <v>448</v>
      </c>
      <c r="I58" s="4" t="s">
        <v>1993</v>
      </c>
      <c r="J58" s="4" t="s">
        <v>1994</v>
      </c>
      <c r="K58" s="4" t="s">
        <v>126</v>
      </c>
      <c r="L58" s="3" t="s">
        <v>1995</v>
      </c>
    </row>
    <row r="59" spans="1:12">
      <c r="A59" s="3">
        <v>56</v>
      </c>
      <c r="B59" s="4" t="s">
        <v>1230</v>
      </c>
      <c r="C59" s="4" t="s">
        <v>438</v>
      </c>
      <c r="D59" s="4" t="s">
        <v>440</v>
      </c>
      <c r="E59" s="4" t="s">
        <v>1541</v>
      </c>
      <c r="F59" s="4" t="s">
        <v>527</v>
      </c>
      <c r="G59" s="4" t="s">
        <v>527</v>
      </c>
      <c r="H59" s="4" t="s">
        <v>448</v>
      </c>
      <c r="I59" s="4" t="s">
        <v>1993</v>
      </c>
      <c r="J59" s="4" t="s">
        <v>1994</v>
      </c>
      <c r="K59" s="4" t="s">
        <v>126</v>
      </c>
      <c r="L59" s="3" t="s">
        <v>1995</v>
      </c>
    </row>
    <row r="60" spans="1:12">
      <c r="A60" s="3">
        <v>57</v>
      </c>
      <c r="B60" s="4" t="s">
        <v>1230</v>
      </c>
      <c r="C60" s="4" t="s">
        <v>438</v>
      </c>
      <c r="D60" s="4" t="s">
        <v>440</v>
      </c>
      <c r="E60" s="4" t="s">
        <v>1543</v>
      </c>
      <c r="F60" s="4" t="s">
        <v>521</v>
      </c>
      <c r="G60" s="4" t="s">
        <v>521</v>
      </c>
      <c r="H60" s="4" t="s">
        <v>448</v>
      </c>
      <c r="I60" s="4" t="s">
        <v>1993</v>
      </c>
      <c r="J60" s="4" t="s">
        <v>1994</v>
      </c>
      <c r="K60" s="4" t="s">
        <v>126</v>
      </c>
      <c r="L60" s="3" t="s">
        <v>1995</v>
      </c>
    </row>
    <row r="61" spans="1:12">
      <c r="A61" s="3">
        <v>58</v>
      </c>
      <c r="B61" s="4" t="s">
        <v>1230</v>
      </c>
      <c r="C61" s="4" t="s">
        <v>438</v>
      </c>
      <c r="D61" s="4" t="s">
        <v>440</v>
      </c>
      <c r="E61" s="4" t="s">
        <v>1545</v>
      </c>
      <c r="F61" s="4" t="s">
        <v>521</v>
      </c>
      <c r="G61" s="4" t="s">
        <v>521</v>
      </c>
      <c r="H61" s="4" t="s">
        <v>448</v>
      </c>
      <c r="I61" s="4" t="s">
        <v>1993</v>
      </c>
      <c r="J61" s="4" t="s">
        <v>1994</v>
      </c>
      <c r="K61" s="4" t="s">
        <v>126</v>
      </c>
      <c r="L61" s="3" t="s">
        <v>1995</v>
      </c>
    </row>
    <row r="62" ht="27" spans="1:12">
      <c r="A62" s="3">
        <v>59</v>
      </c>
      <c r="B62" s="4" t="s">
        <v>1230</v>
      </c>
      <c r="C62" s="4" t="s">
        <v>438</v>
      </c>
      <c r="D62" s="4" t="s">
        <v>440</v>
      </c>
      <c r="E62" s="4" t="s">
        <v>1547</v>
      </c>
      <c r="F62" s="4" t="s">
        <v>527</v>
      </c>
      <c r="G62" s="4" t="s">
        <v>527</v>
      </c>
      <c r="H62" s="4" t="s">
        <v>448</v>
      </c>
      <c r="I62" s="4" t="s">
        <v>1993</v>
      </c>
      <c r="J62" s="4" t="s">
        <v>1994</v>
      </c>
      <c r="K62" s="4" t="s">
        <v>126</v>
      </c>
      <c r="L62" s="3" t="s">
        <v>1995</v>
      </c>
    </row>
    <row r="63" spans="1:12">
      <c r="A63" s="3">
        <v>60</v>
      </c>
      <c r="B63" s="4" t="s">
        <v>1230</v>
      </c>
      <c r="C63" s="4" t="s">
        <v>438</v>
      </c>
      <c r="D63" s="4" t="s">
        <v>440</v>
      </c>
      <c r="E63" s="4" t="s">
        <v>1549</v>
      </c>
      <c r="F63" s="4" t="s">
        <v>521</v>
      </c>
      <c r="G63" s="4" t="s">
        <v>521</v>
      </c>
      <c r="H63" s="4" t="s">
        <v>448</v>
      </c>
      <c r="I63" s="4" t="s">
        <v>1993</v>
      </c>
      <c r="J63" s="4" t="s">
        <v>1994</v>
      </c>
      <c r="K63" s="4" t="s">
        <v>126</v>
      </c>
      <c r="L63" s="3" t="s">
        <v>1995</v>
      </c>
    </row>
    <row r="64" spans="1:12">
      <c r="A64" s="3">
        <v>61</v>
      </c>
      <c r="B64" s="4" t="s">
        <v>1230</v>
      </c>
      <c r="C64" s="4" t="s">
        <v>438</v>
      </c>
      <c r="D64" s="4" t="s">
        <v>440</v>
      </c>
      <c r="E64" s="4" t="s">
        <v>1551</v>
      </c>
      <c r="F64" s="4" t="s">
        <v>521</v>
      </c>
      <c r="G64" s="4" t="s">
        <v>521</v>
      </c>
      <c r="H64" s="4" t="s">
        <v>448</v>
      </c>
      <c r="I64" s="4" t="s">
        <v>1993</v>
      </c>
      <c r="J64" s="4" t="s">
        <v>1994</v>
      </c>
      <c r="K64" s="4" t="s">
        <v>126</v>
      </c>
      <c r="L64" s="3" t="s">
        <v>1995</v>
      </c>
    </row>
    <row r="65" ht="27" spans="1:12">
      <c r="A65" s="3">
        <v>62</v>
      </c>
      <c r="B65" s="4" t="s">
        <v>1230</v>
      </c>
      <c r="C65" s="4" t="s">
        <v>438</v>
      </c>
      <c r="D65" s="4" t="s">
        <v>440</v>
      </c>
      <c r="E65" s="4" t="s">
        <v>1553</v>
      </c>
      <c r="F65" s="4" t="s">
        <v>520</v>
      </c>
      <c r="G65" s="4" t="s">
        <v>520</v>
      </c>
      <c r="H65" s="4" t="s">
        <v>448</v>
      </c>
      <c r="I65" s="4" t="s">
        <v>1993</v>
      </c>
      <c r="J65" s="4" t="s">
        <v>1994</v>
      </c>
      <c r="K65" s="4" t="s">
        <v>126</v>
      </c>
      <c r="L65" s="3" t="s">
        <v>1995</v>
      </c>
    </row>
    <row r="66" spans="1:12">
      <c r="A66" s="3">
        <v>63</v>
      </c>
      <c r="B66" s="4" t="s">
        <v>1230</v>
      </c>
      <c r="C66" s="4" t="s">
        <v>438</v>
      </c>
      <c r="D66" s="4" t="s">
        <v>440</v>
      </c>
      <c r="E66" s="4" t="s">
        <v>1562</v>
      </c>
      <c r="F66" s="4" t="s">
        <v>525</v>
      </c>
      <c r="G66" s="4" t="s">
        <v>525</v>
      </c>
      <c r="H66" s="4" t="s">
        <v>448</v>
      </c>
      <c r="I66" s="4" t="s">
        <v>1993</v>
      </c>
      <c r="J66" s="4" t="s">
        <v>1994</v>
      </c>
      <c r="K66" s="4" t="s">
        <v>126</v>
      </c>
      <c r="L66" s="3" t="s">
        <v>1995</v>
      </c>
    </row>
    <row r="67" spans="1:12">
      <c r="A67" s="3">
        <v>64</v>
      </c>
      <c r="B67" s="4" t="s">
        <v>1230</v>
      </c>
      <c r="C67" s="4" t="s">
        <v>438</v>
      </c>
      <c r="D67" s="4" t="s">
        <v>440</v>
      </c>
      <c r="E67" s="4" t="s">
        <v>1564</v>
      </c>
      <c r="F67" s="4" t="s">
        <v>518</v>
      </c>
      <c r="G67" s="4" t="s">
        <v>518</v>
      </c>
      <c r="H67" s="4" t="s">
        <v>448</v>
      </c>
      <c r="I67" s="4" t="s">
        <v>1993</v>
      </c>
      <c r="J67" s="4" t="s">
        <v>1994</v>
      </c>
      <c r="K67" s="4" t="s">
        <v>126</v>
      </c>
      <c r="L67" s="3" t="s">
        <v>1995</v>
      </c>
    </row>
    <row r="68" spans="1:12">
      <c r="A68" s="3">
        <v>65</v>
      </c>
      <c r="B68" s="4" t="s">
        <v>1230</v>
      </c>
      <c r="C68" s="4" t="s">
        <v>438</v>
      </c>
      <c r="D68" s="4" t="s">
        <v>440</v>
      </c>
      <c r="E68" s="4" t="s">
        <v>1566</v>
      </c>
      <c r="F68" s="4" t="s">
        <v>521</v>
      </c>
      <c r="G68" s="4" t="s">
        <v>521</v>
      </c>
      <c r="H68" s="4" t="s">
        <v>448</v>
      </c>
      <c r="I68" s="4" t="s">
        <v>1993</v>
      </c>
      <c r="J68" s="4" t="s">
        <v>1994</v>
      </c>
      <c r="K68" s="4" t="s">
        <v>126</v>
      </c>
      <c r="L68" s="3" t="s">
        <v>1995</v>
      </c>
    </row>
    <row r="69" spans="1:12">
      <c r="A69" s="3">
        <v>66</v>
      </c>
      <c r="B69" s="4" t="s">
        <v>1230</v>
      </c>
      <c r="C69" s="4" t="s">
        <v>438</v>
      </c>
      <c r="D69" s="4" t="s">
        <v>440</v>
      </c>
      <c r="E69" s="4" t="s">
        <v>1570</v>
      </c>
      <c r="F69" s="4" t="s">
        <v>518</v>
      </c>
      <c r="G69" s="4" t="s">
        <v>518</v>
      </c>
      <c r="H69" s="4" t="s">
        <v>448</v>
      </c>
      <c r="I69" s="4" t="s">
        <v>1993</v>
      </c>
      <c r="J69" s="4" t="s">
        <v>1994</v>
      </c>
      <c r="K69" s="4" t="s">
        <v>126</v>
      </c>
      <c r="L69" s="3" t="s">
        <v>1995</v>
      </c>
    </row>
    <row r="70" spans="1:12">
      <c r="A70" s="3">
        <v>67</v>
      </c>
      <c r="B70" s="4" t="s">
        <v>1230</v>
      </c>
      <c r="C70" s="4" t="s">
        <v>438</v>
      </c>
      <c r="D70" s="4" t="s">
        <v>440</v>
      </c>
      <c r="E70" s="4" t="s">
        <v>1574</v>
      </c>
      <c r="F70" s="4" t="s">
        <v>525</v>
      </c>
      <c r="G70" s="4" t="s">
        <v>525</v>
      </c>
      <c r="H70" s="4" t="s">
        <v>448</v>
      </c>
      <c r="I70" s="4" t="s">
        <v>1993</v>
      </c>
      <c r="J70" s="4" t="s">
        <v>1994</v>
      </c>
      <c r="K70" s="4" t="s">
        <v>126</v>
      </c>
      <c r="L70" s="3" t="s">
        <v>1995</v>
      </c>
    </row>
    <row r="71" spans="1:12">
      <c r="A71" s="3">
        <v>68</v>
      </c>
      <c r="B71" s="4" t="s">
        <v>1230</v>
      </c>
      <c r="C71" s="4" t="s">
        <v>438</v>
      </c>
      <c r="D71" s="4" t="s">
        <v>440</v>
      </c>
      <c r="E71" s="4" t="s">
        <v>1576</v>
      </c>
      <c r="F71" s="4" t="s">
        <v>527</v>
      </c>
      <c r="G71" s="4" t="s">
        <v>527</v>
      </c>
      <c r="H71" s="4" t="s">
        <v>448</v>
      </c>
      <c r="I71" s="4" t="s">
        <v>1993</v>
      </c>
      <c r="J71" s="4" t="s">
        <v>1994</v>
      </c>
      <c r="K71" s="4" t="s">
        <v>126</v>
      </c>
      <c r="L71" s="3" t="s">
        <v>1995</v>
      </c>
    </row>
    <row r="72" ht="27" spans="1:12">
      <c r="A72" s="3">
        <v>69</v>
      </c>
      <c r="B72" s="4" t="s">
        <v>1230</v>
      </c>
      <c r="C72" s="4" t="s">
        <v>438</v>
      </c>
      <c r="D72" s="4" t="s">
        <v>440</v>
      </c>
      <c r="E72" s="4" t="s">
        <v>1578</v>
      </c>
      <c r="F72" s="4" t="s">
        <v>527</v>
      </c>
      <c r="G72" s="4" t="s">
        <v>527</v>
      </c>
      <c r="H72" s="4" t="s">
        <v>448</v>
      </c>
      <c r="I72" s="4" t="s">
        <v>1993</v>
      </c>
      <c r="J72" s="4" t="s">
        <v>1994</v>
      </c>
      <c r="K72" s="4" t="s">
        <v>126</v>
      </c>
      <c r="L72" s="3" t="s">
        <v>1995</v>
      </c>
    </row>
    <row r="73" spans="1:12">
      <c r="A73" s="3">
        <v>70</v>
      </c>
      <c r="B73" s="4" t="s">
        <v>1230</v>
      </c>
      <c r="C73" s="4" t="s">
        <v>438</v>
      </c>
      <c r="D73" s="4" t="s">
        <v>440</v>
      </c>
      <c r="E73" s="4" t="s">
        <v>1580</v>
      </c>
      <c r="F73" s="4" t="s">
        <v>521</v>
      </c>
      <c r="G73" s="4" t="s">
        <v>521</v>
      </c>
      <c r="H73" s="4" t="s">
        <v>448</v>
      </c>
      <c r="I73" s="4" t="s">
        <v>1993</v>
      </c>
      <c r="J73" s="4" t="s">
        <v>1994</v>
      </c>
      <c r="K73" s="4" t="s">
        <v>126</v>
      </c>
      <c r="L73" s="3" t="s">
        <v>1995</v>
      </c>
    </row>
    <row r="74" spans="1:12">
      <c r="A74" s="3">
        <v>71</v>
      </c>
      <c r="B74" s="4" t="s">
        <v>1230</v>
      </c>
      <c r="C74" s="4" t="s">
        <v>438</v>
      </c>
      <c r="D74" s="4" t="s">
        <v>440</v>
      </c>
      <c r="E74" s="4" t="s">
        <v>1584</v>
      </c>
      <c r="F74" s="4" t="s">
        <v>521</v>
      </c>
      <c r="G74" s="4" t="s">
        <v>521</v>
      </c>
      <c r="H74" s="4" t="s">
        <v>448</v>
      </c>
      <c r="I74" s="4" t="s">
        <v>1993</v>
      </c>
      <c r="J74" s="4" t="s">
        <v>1994</v>
      </c>
      <c r="K74" s="4" t="s">
        <v>126</v>
      </c>
      <c r="L74" s="3" t="s">
        <v>1995</v>
      </c>
    </row>
    <row r="75" ht="27" spans="1:12">
      <c r="A75" s="3">
        <v>72</v>
      </c>
      <c r="B75" s="3" t="s">
        <v>1199</v>
      </c>
      <c r="C75" s="3" t="s">
        <v>342</v>
      </c>
      <c r="D75" s="3" t="s">
        <v>367</v>
      </c>
      <c r="E75" s="3" t="s">
        <v>1363</v>
      </c>
      <c r="F75" s="3" t="s">
        <v>525</v>
      </c>
      <c r="G75" s="3" t="s">
        <v>1365</v>
      </c>
      <c r="H75" s="3" t="s">
        <v>372</v>
      </c>
      <c r="I75" s="3" t="s">
        <v>1996</v>
      </c>
      <c r="J75" s="3" t="s">
        <v>1997</v>
      </c>
      <c r="K75" s="3" t="s">
        <v>83</v>
      </c>
      <c r="L75" s="3" t="s">
        <v>1998</v>
      </c>
    </row>
  </sheetData>
  <mergeCells count="1">
    <mergeCell ref="A1:L1"/>
  </mergeCells>
  <conditionalFormatting sqref="L4:L75">
    <cfRule type="expression" dxfId="1" priority="1">
      <formula>L4="已复核"</formula>
    </cfRule>
    <cfRule type="expression" dxfId="9" priority="2">
      <formula>LEFT(L4,3)="待复核"</formula>
    </cfRule>
  </conditionalFormatting>
  <pageMargins left="0.7" right="0.7" top="0.75" bottom="0.75" header="0.3" footer="0.3"/>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
  <sheetViews>
    <sheetView workbookViewId="0">
      <selection activeCell="A1" sqref="A1:L1"/>
    </sheetView>
  </sheetViews>
  <sheetFormatPr defaultColWidth="9" defaultRowHeight="13.5" outlineLevelRow="6"/>
  <cols>
    <col min="1" max="1" width="10" customWidth="1"/>
    <col min="2" max="2" width="14" customWidth="1"/>
    <col min="3" max="3" width="28" customWidth="1"/>
    <col min="4" max="4" width="15" customWidth="1"/>
    <col min="5" max="5" width="18" customWidth="1"/>
    <col min="6" max="6" width="42" customWidth="1"/>
    <col min="7" max="7" width="48" customWidth="1"/>
    <col min="8" max="8" width="34" customWidth="1"/>
    <col min="9" max="11" width="48" customWidth="1"/>
    <col min="12" max="12" width="24" customWidth="1"/>
  </cols>
  <sheetData>
    <row r="1" ht="34" customHeight="1" spans="1:12">
      <c r="A1" s="1" t="s">
        <v>1999</v>
      </c>
      <c r="B1" s="1"/>
      <c r="C1" s="1"/>
      <c r="D1" s="1"/>
      <c r="E1" s="1"/>
      <c r="F1" s="1"/>
      <c r="G1" s="1"/>
      <c r="H1" s="1"/>
      <c r="I1" s="1"/>
      <c r="J1" s="1"/>
      <c r="K1" s="1"/>
      <c r="L1" s="1"/>
    </row>
    <row r="3" ht="13.9" spans="1:12">
      <c r="A3" s="2" t="s">
        <v>2000</v>
      </c>
      <c r="B3" s="2" t="s">
        <v>2001</v>
      </c>
      <c r="C3" s="2" t="s">
        <v>2002</v>
      </c>
      <c r="D3" s="2" t="s">
        <v>2003</v>
      </c>
      <c r="E3" s="2" t="s">
        <v>53</v>
      </c>
      <c r="F3" s="2" t="s">
        <v>2004</v>
      </c>
      <c r="G3" s="2" t="s">
        <v>2005</v>
      </c>
      <c r="H3" s="2" t="s">
        <v>2006</v>
      </c>
      <c r="I3" s="2" t="s">
        <v>2007</v>
      </c>
      <c r="J3" s="2" t="s">
        <v>2008</v>
      </c>
      <c r="K3" s="2" t="s">
        <v>58</v>
      </c>
      <c r="L3" s="2" t="s">
        <v>1992</v>
      </c>
    </row>
    <row r="4" ht="27" spans="1:12">
      <c r="A4" s="3" t="s">
        <v>2009</v>
      </c>
      <c r="B4" s="4" t="s">
        <v>1134</v>
      </c>
      <c r="C4" s="4" t="s">
        <v>2010</v>
      </c>
      <c r="D4" s="4" t="s">
        <v>2011</v>
      </c>
      <c r="E4" s="4" t="s">
        <v>261</v>
      </c>
      <c r="F4" s="4" t="s">
        <v>2012</v>
      </c>
      <c r="G4" s="4" t="s">
        <v>2013</v>
      </c>
      <c r="H4" s="4" t="s">
        <v>2014</v>
      </c>
      <c r="I4" s="4" t="s">
        <v>2015</v>
      </c>
      <c r="J4" s="4" t="s">
        <v>2016</v>
      </c>
      <c r="K4" s="4" t="s">
        <v>265</v>
      </c>
      <c r="L4" s="3" t="s">
        <v>2017</v>
      </c>
    </row>
    <row r="5" ht="27" spans="1:12">
      <c r="A5" s="3" t="s">
        <v>2018</v>
      </c>
      <c r="B5" s="4" t="s">
        <v>1172</v>
      </c>
      <c r="C5" s="4" t="s">
        <v>2019</v>
      </c>
      <c r="D5" s="4" t="s">
        <v>2011</v>
      </c>
      <c r="E5" s="4" t="s">
        <v>321</v>
      </c>
      <c r="F5" s="4" t="s">
        <v>2020</v>
      </c>
      <c r="G5" s="4" t="s">
        <v>2013</v>
      </c>
      <c r="H5" s="4" t="s">
        <v>2014</v>
      </c>
      <c r="I5" s="4" t="s">
        <v>2021</v>
      </c>
      <c r="J5" s="4" t="s">
        <v>2022</v>
      </c>
      <c r="K5" s="4" t="s">
        <v>325</v>
      </c>
      <c r="L5" s="3" t="s">
        <v>2023</v>
      </c>
    </row>
    <row r="6" ht="27" spans="1:12">
      <c r="A6" s="3" t="s">
        <v>2024</v>
      </c>
      <c r="B6" s="4" t="s">
        <v>1230</v>
      </c>
      <c r="C6" s="4" t="s">
        <v>2025</v>
      </c>
      <c r="D6" s="4" t="s">
        <v>2011</v>
      </c>
      <c r="E6" s="4" t="s">
        <v>444</v>
      </c>
      <c r="F6" s="4" t="s">
        <v>2026</v>
      </c>
      <c r="G6" s="4" t="s">
        <v>2027</v>
      </c>
      <c r="H6" s="4" t="s">
        <v>2028</v>
      </c>
      <c r="I6" s="4" t="s">
        <v>2029</v>
      </c>
      <c r="J6" s="4" t="s">
        <v>2030</v>
      </c>
      <c r="K6" s="4" t="s">
        <v>448</v>
      </c>
      <c r="L6" s="3" t="s">
        <v>2031</v>
      </c>
    </row>
    <row r="7" ht="27" spans="1:12">
      <c r="A7" s="3" t="s">
        <v>2032</v>
      </c>
      <c r="B7" s="3" t="s">
        <v>2033</v>
      </c>
      <c r="C7" s="3" t="s">
        <v>2025</v>
      </c>
      <c r="D7" s="3" t="s">
        <v>2034</v>
      </c>
      <c r="E7" s="3" t="s">
        <v>1558</v>
      </c>
      <c r="F7" s="3" t="s">
        <v>1555</v>
      </c>
      <c r="G7" s="3" t="s">
        <v>2035</v>
      </c>
      <c r="H7" s="3" t="s">
        <v>2036</v>
      </c>
      <c r="I7" s="3" t="s">
        <v>2037</v>
      </c>
      <c r="J7" s="3" t="s">
        <v>2038</v>
      </c>
      <c r="K7" s="3" t="s">
        <v>448</v>
      </c>
      <c r="L7" s="3" t="s">
        <v>2039</v>
      </c>
    </row>
  </sheetData>
  <mergeCells count="1">
    <mergeCell ref="A1:L1"/>
  </mergeCells>
  <conditionalFormatting sqref="L4:L7">
    <cfRule type="expression" dxfId="1" priority="1">
      <formula>L4="已人工复核"</formula>
    </cfRule>
    <cfRule type="expression" dxfId="9" priority="2">
      <formula>LEFT(L4,1)="待"</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20</vt:i4>
      </vt:variant>
    </vt:vector>
  </HeadingPairs>
  <TitlesOfParts>
    <vt:vector size="20" baseType="lpstr">
      <vt:lpstr>监测说明与结论</vt:lpstr>
      <vt:lpstr>有效舆情明细</vt:lpstr>
      <vt:lpstr>官方实施信息</vt:lpstr>
      <vt:lpstr>公众意见汇总</vt:lpstr>
      <vt:lpstr>排除记录</vt:lpstr>
      <vt:lpstr>后续复核清单</vt:lpstr>
      <vt:lpstr>检索日志</vt:lpstr>
      <vt:lpstr>扁平化数据</vt:lpstr>
      <vt:lpstr>关键词清单</vt:lpstr>
      <vt:lpstr>核验依据</vt:lpstr>
      <vt:lpstr>评论母帖汇总</vt:lpstr>
      <vt:lpstr>公众评论明细</vt:lpstr>
      <vt:lpstr>平台覆盖汇总</vt:lpstr>
      <vt:lpstr>证据材料审查</vt:lpstr>
      <vt:lpstr>快手重点舆情专题</vt:lpstr>
      <vt:lpstr>聚合评论统计</vt:lpstr>
      <vt:lpstr>原始链接清单</vt:lpstr>
      <vt:lpstr>监测统计补充</vt:lpstr>
      <vt:lpstr>非支持态度复核</vt:lpstr>
      <vt:lpstr>少数民族语言复核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胡苏琦</cp:lastModifiedBy>
  <dcterms:created xsi:type="dcterms:W3CDTF">2026-08-07T00:11:00Z</dcterms:created>
  <dcterms:modified xsi:type="dcterms:W3CDTF">2026-08-11T02:15:05Z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FC0523C8A7A24050AF550480985F7D1F_13</vt:lpwstr>
  </property>
  <property fmtid="{D5CDD505-2E9C-101B-9397-08002B2CF9AE}" pid="3" name="KSOProductBuildVer">
    <vt:lpwstr>2052-12.1.0.28043</vt:lpwstr>
  </property>
  <property fmtid="{D5CDD505-2E9C-101B-9397-08002B2CF9AE}" pid="4" name="CalculationRule">
    <vt:i4>0</vt:i4>
  </property>
</Properties>
</file>