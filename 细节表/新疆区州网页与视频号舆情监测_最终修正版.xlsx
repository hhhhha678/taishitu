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33cc3d77fa4846" /></Relationships>
</file>

<file path=xl/workbook.xml><?xml version="1.0" encoding="utf-8"?>
<x:workbook xmlns:x="http://schemas.openxmlformats.org/spreadsheetml/2006/main">
  <x:sheets>
    <x:sheet xmlns:r="http://schemas.openxmlformats.org/officeDocument/2006/relationships" name="提交说明" sheetId="1" r:id="Rc9965f9980f44e69"/>
    <x:sheet xmlns:r="http://schemas.openxmlformats.org/officeDocument/2006/relationships" name="第一部分_有效舆情明细" sheetId="2" r:id="R479598bad1f74bdf"/>
    <x:sheet xmlns:r="http://schemas.openxmlformats.org/officeDocument/2006/relationships" name="第二部分_官方实施信息" sheetId="3" r:id="R1da29621b6564c4f"/>
    <x:sheet xmlns:r="http://schemas.openxmlformats.org/officeDocument/2006/relationships" name="第三部分_公众意见汇总" sheetId="4" r:id="Rdabbb7f82c7e42c9"/>
    <x:sheet xmlns:r="http://schemas.openxmlformats.org/officeDocument/2006/relationships" name="第四部分_排除记录" sheetId="5" r:id="R2c0d6c771d994e84"/>
    <x:sheet xmlns:r="http://schemas.openxmlformats.org/officeDocument/2006/relationships" name="第五部分_视频号与人工补查" sheetId="6" r:id="R099c27d11ad74f3d"/>
    <x:sheet xmlns:r="http://schemas.openxmlformats.org/officeDocument/2006/relationships" name="第六部分_检索日志" sheetId="7" r:id="R0808f83217a24adb"/>
    <x:sheet xmlns:r="http://schemas.openxmlformats.org/officeDocument/2006/relationships" name="第七部分_扁平化数据" sheetId="8" r:id="Rd584172dcb164ba1"/>
    <x:sheet xmlns:r="http://schemas.openxmlformats.org/officeDocument/2006/relationships" name="第八部分_监测来源清单" sheetId="9" r:id="R62fd2bf05119468f"/>
    <x:sheet xmlns:r="http://schemas.openxmlformats.org/officeDocument/2006/relationships" name="第九部分_8月7日复核汇总" sheetId="10" r:id="R99f8121f3a9a48a2"/>
  </x:sheets>
</x:workbook>
</file>

<file path=xl/sharedStrings.xml><?xml version="1.0" encoding="utf-8"?>
<x:sst xmlns:x="http://schemas.openxmlformats.org/spreadsheetml/2006/main">
  <x:si>
    <x:t xml:space="preserve">新疆区州网页与视频号舆情监测结果（最终合并版）</x:t>
  </x:si>
  <x:si>
    <x:t xml:space="preserve">1</x:t>
  </x:si>
  <x:si>
    <x:t xml:space="preserve">任务范围：新疆维吾尔自治区、伊犁州、博州、昌吉州、巴州、克州的公开网页及指定微信视频号/公众号；自治县由第9号负责人完成。</x:t>
  </x:si>
  <x:si>
    <x:t xml:space="preserve">监测固定时间范围：2026-07-01 00:00—2026-08-05 23:59（北京时间）；已于2026-08-07完成补充复核并合并。</x:t>
  </x:si>
  <x:si>
    <x:t xml:space="preserve">指标</x:t>
  </x:si>
  <x:si>
    <x:t xml:space="preserve">数量/结论</x:t>
  </x:si>
  <x:si>
    <x:t xml:space="preserve">复核结论</x:t>
  </x:si>
  <x:si>
    <x:t xml:space="preserve">监测来源数</x:t>
  </x:si>
  <x:si>
    <x:t xml:space="preserve">查看信息数</x:t>
  </x:si>
  <x:si>
    <x:t xml:space="preserve">民族议题相关内容数</x:t>
  </x:si>
  <x:si>
    <x:t xml:space="preserve">其中：与本法及实施明确相关</x:t>
  </x:si>
  <x:si>
    <x:t xml:space="preserve">官方实施信息</x:t>
  </x:si>
  <x:si>
    <x:t xml:space="preserve">媒体报道/解读</x:t>
  </x:si>
  <x:si>
    <x:t xml:space="preserve">可计入公众/个人观点</x:t>
  </x:si>
  <x:si>
    <x:t xml:space="preserve">非支持态度（担忧/质疑/批评/投诉等）</x:t>
  </x:si>
  <x:si>
    <x:t xml:space="preserve">少数民族语言有效内容</x:t>
  </x:si>
  <x:si>
    <x:t xml:space="preserve">序号</x:t>
  </x:si>
  <x:si>
    <x:t xml:space="preserve">发布日期</x:t>
  </x:si>
  <x:si>
    <x:t xml:space="preserve">采集来源</x:t>
  </x:si>
  <x:si>
    <x:t xml:space="preserve">平台或网站</x:t>
  </x:si>
  <x:si>
    <x:t xml:space="preserve">账号或栏目名称</x:t>
  </x:si>
  <x:si>
    <x:t xml:space="preserve">来源类型</x:t>
  </x:si>
  <x:si>
    <x:t xml:space="preserve">涉及地区</x:t>
  </x:si>
  <x:si>
    <x:t xml:space="preserve">行政层级</x:t>
  </x:si>
  <x:si>
    <x:t xml:space="preserve">原始语言</x:t>
  </x:si>
  <x:si>
    <x:t xml:space="preserve">中文翻译</x:t>
  </x:si>
  <x:si>
    <x:t xml:space="preserve">标题或话题</x:t>
  </x:si>
  <x:si>
    <x:t xml:space="preserve">原文证据摘录</x:t>
  </x:si>
  <x:si>
    <x:t xml:space="preserve">客观摘要</x:t>
  </x:si>
  <x:si>
    <x:t xml:space="preserve">原始链接</x:t>
  </x:si>
  <x:si>
    <x:t xml:space="preserve">关联度</x:t>
  </x:si>
  <x:si>
    <x:t xml:space="preserve">意见类型</x:t>
  </x:si>
  <x:si>
    <x:t xml:space="preserve">具体议题</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</x:si>
  <x:si>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</x:si>
  <x:si>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</x:si>
  <x:si>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</x:si>
  <x:si>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</x:si>
  <x:si>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</x:si>
  <x:si>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</x:si>
  <x:si>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其他转载平台</x:t>
  </x:si>
  <x:si>
    <x:t xml:space="preserve">是否计入公众统计</x:t>
  </x:si>
  <x:si>
    <x:t xml:space="preserve">2026-07-04</x:t>
  </x:si>
  <x:si>
    <x:t xml:space="preserve">网页公开检索</x:t>
  </x:si>
  <x:si>
    <x:t xml:space="preserve">新疆日报电子版</x:t>
  </x:si>
  <x:si>
    <x:t xml:space="preserve">A03要闻</x:t>
  </x:si>
  <x:si>
    <x:t xml:space="preserve">新疆维吾尔自治区</x:t>
  </x:si>
  <x:si>
    <x:t xml:space="preserve">自治区</x:t>
  </x:si>
  <x:si>
    <x:t xml:space="preserve">中文</x:t>
  </x:si>
  <x:si>
    <x:t xml:space="preserve">新时代新疆干部大讲堂民族团结进步促进法专题辅导讲座举行</x:t>
  </x:si>
  <x:si>
    <x:t xml:space="preserve">把学习宣传贯彻民族团结进步促进法作为一项重大政治任务。</x:t>
  </x:si>
  <x:si>
    <x:t xml:space="preserve">7月3日自治区举办专题辅导讲座。</x:t>
  </x:si>
  <x:si>
    <x:t xml:space="preserve">https://xjrb.ts.cn/xjrb/20260704/259878.html</x:t>
  </x:si>
  <x:si>
    <x:t xml:space="preserve">A</x:t>
  </x:si>
  <x:si>
    <x:t xml:space="preserve">官方政策信息</x:t>
  </x:si>
  <x:si>
    <x:t xml:space="preserve">干部培训、普法宣传、组织实施</x:t>
  </x:si>
  <x:si>
    <x:t xml:space="preserve">否</x:t>
  </x:si>
  <x:si>
    <x:t xml:space="preserve">已核验标题、日期、正文和原始页面。</x:t>
  </x:si>
  <x:si>
    <x:t xml:space="preserve">人民网新疆频道等有转载</x:t>
  </x:si>
  <x:si>
    <x:t xml:space="preserve">2</x:t>
  </x:si>
  <x:si>
    <x:t xml:space="preserve">2026-07-07</x:t>
  </x:si>
  <x:si>
    <x:t xml:space="preserve">A05理论学习</x:t>
  </x:si>
  <x:si>
    <x:t xml:space="preserve">媒体报道</x:t>
  </x:si>
  <x:si>
    <x:t xml:space="preserve">夯实中华民族共同体建设的法治根基</x:t>
  </x:si>
  <x:si>
    <x:t xml:space="preserve">民族团结进步促进法自7月1日起正式施行。</x:t>
  </x:si>
  <x:si>
    <x:t xml:space="preserve">理论文章从法治框架、分类宣传和基层落实等角度分析法律实施。</x:t>
  </x:si>
  <x:si>
    <x:t xml:space="preserve">https://xjrb.ts.cn/xjrb/20260707/260002.html</x:t>
  </x:si>
  <x:si>
    <x:t xml:space="preserve">中性信息</x:t>
  </x:si>
  <x:si>
    <x:t xml:space="preserve">政策解读、分众普法、基层落实</x:t>
  </x:si>
  <x:si>
    <x:t xml:space="preserve">已核验原文页面；属于媒体理论解读，不计作公众支持。</x:t>
  </x:si>
  <x:si>
    <x:t xml:space="preserve">3</x:t>
  </x:si>
  <x:si>
    <x:t xml:space="preserve">从五个一把握民族团结进步促进法</x:t>
  </x:si>
  <x:si>
    <x:t xml:space="preserve">切实做好民族团结进步促进法的贯彻实施。</x:t>
  </x:si>
  <x:si>
    <x:t xml:space="preserve">文章以五个一为框架梳理法律。</x:t>
  </x:si>
  <x:si>
    <x:t xml:space="preserve">https://xjrb.ts.cn/xjrb/20260707/260003.html</x:t>
  </x:si>
  <x:si>
    <x:t xml:space="preserve">法律解读、贯彻实施</x:t>
  </x:si>
  <x:si>
    <x:t xml:space="preserve">已核验标题、日期和正文。</x:t>
  </x:si>
  <x:si>
    <x:t xml:space="preserve">4</x:t>
  </x:si>
  <x:si>
    <x:t xml:space="preserve">2026-07-17</x:t>
  </x:si>
  <x:si>
    <x:t xml:space="preserve">A01要闻</x:t>
  </x:si>
  <x:si>
    <x:t xml:space="preserve">深入学习宣传贯彻实施民族团结进步促进法 为建设社会主义现代化新疆凝聚强大力量</x:t>
  </x:si>
  <x:si>
    <x:t xml:space="preserve">抓好民族团结进步促进法学习宣传培训，加强组织实施和督促落实。</x:t>
  </x:si>
  <x:si>
    <x:t xml:space="preserve">7月16日自治区主要领导到自治区民委调研并召开座谈会。</x:t>
  </x:si>
  <x:si>
    <x:t xml:space="preserve">https://xjrb.ts.cn/xjrb/20260717/260427.html</x:t>
  </x:si>
  <x:si>
    <x:t xml:space="preserve">自治区部署、学习培训、督促落实</x:t>
  </x:si>
  <x:si>
    <x:t xml:space="preserve">已核验原始电子报页面。</x:t>
  </x:si>
  <x:si>
    <x:t xml:space="preserve">新疆政府部门网站有转载</x:t>
  </x:si>
  <x:si>
    <x:t xml:space="preserve">5</x:t>
  </x:si>
  <x:si>
    <x:t xml:space="preserve">2026-07-24</x:t>
  </x:si>
  <x:si>
    <x:t xml:space="preserve">天山网—新疆日报</x:t>
  </x:si>
  <x:si>
    <x:t xml:space="preserve">自治区人民政府常务会议举办法治专题讲座</x:t>
  </x:si>
  <x:si>
    <x:t xml:space="preserve">学习《中华人民共和国民族团结进步促进法》。</x:t>
  </x:si>
  <x:si>
    <x:t xml:space="preserve">7月23日自治区人民政府常务会议举办法治专题讲座。</x:t>
  </x:si>
  <x:si>
    <x:t xml:space="preserve">https://xjrb.ts.cn/xjrb/20260724/260693.html</x:t>
  </x:si>
  <x:si>
    <x:t xml:space="preserve">政府学法、基层宣讲、法治政府</x:t>
  </x:si>
  <x:si>
    <x:t xml:space="preserve">已替换为天山网—新疆日报原始页面。</x:t>
  </x:si>
  <x:si>
    <x:t xml:space="preserve">新疆政府系统转载页：https://kdjkq.xinjiang.gov.cn/ktdsz/zzq/202607/21290f05bb964448a345073f0ea5d717.shtml</x:t>
  </x:si>
  <x:si>
    <x:t xml:space="preserve">6</x:t>
  </x:si>
  <x:si>
    <x:t xml:space="preserve">2026-07-31</x:t>
  </x:si>
  <x:si>
    <x:t xml:space="preserve">A02要闻</x:t>
  </x:si>
  <x:si>
    <x:t xml:space="preserve">自治区人大常委会召开学习贯彻实施民族团结进步促进法座谈会</x:t>
  </x:si>
  <x:si>
    <x:t xml:space="preserve">全面有效推动法律高质量实施。</x:t>
  </x:si>
  <x:si>
    <x:t xml:space="preserve">7月29日自治区人大常委会召开座谈会，部署法规衔接配套。</x:t>
  </x:si>
  <x:si>
    <x:t xml:space="preserve">https://xjrb.ts.cn/xjrb/20260731/261020.html</x:t>
  </x:si>
  <x:si>
    <x:t xml:space="preserve">地方配套法规、人大监督、实施问题</x:t>
  </x:si>
  <x:si>
    <x:t xml:space="preserve">新疆农业农村厅转载页：https://nynct.xinjiang.gov.cn/xjnynct/c113572/202607/34786d2d8b814340b6ca61469bbfaa40.shtml</x:t>
  </x:si>
  <x:si>
    <x:t xml:space="preserve">7</x:t>
  </x:si>
  <x:si>
    <x:t xml:space="preserve">学习宣传贯彻民族团结进步促进法 百名人大代表宣讲骨干专题培训班开班</x:t>
  </x:si>
  <x:si>
    <x:t xml:space="preserve">100名自治区各级人大代表参加学习培训。</x:t>
  </x:si>
  <x:si>
    <x:t xml:space="preserve">7月31日自治区人大常委会举办为期3天的专题培训。</x:t>
  </x:si>
  <x:si>
    <x:t xml:space="preserve">https://xjrb.ts.cn/xjrb/20260801/261058.html</x:t>
  </x:si>
  <x:si>
    <x:t xml:space="preserve">人大代表培训、基层宣讲、倾听民声</x:t>
  </x:si>
  <x:si>
    <x:t xml:space="preserve">天山网页稿时间为2026-07-31 23:52:04，新疆日报版面日期为2026-08-01。</x:t>
  </x:si>
  <x:si>
    <x:t xml:space="preserve">原转载页：https://www.alsk.gov.cn/alsk/c129994/202608/b144db5093284446ac714b1cf0bba943.shtml</x:t>
  </x:si>
  <x:si>
    <x:t xml:space="preserve">8</x:t>
  </x:si>
  <x:si>
    <x:t xml:space="preserve">2026-07-06</x:t>
  </x:si>
  <x:si>
    <x:t xml:space="preserve">伊犁哈萨克自治州人民政府</x:t>
  </x:si>
  <x:si>
    <x:t xml:space="preserve">重点领域信息公开</x:t>
  </x:si>
  <x:si>
    <x:t xml:space="preserve">伊犁哈萨克自治州</x:t>
  </x:si>
  <x:si>
    <x:t xml:space="preserve">自治州</x:t>
  </x:si>
  <x:si>
    <x:t xml:space="preserve">长图丨一图读懂《中华人民共和国民族团结进步促进法》</x:t>
  </x:si>
  <x:si>
    <x:t xml:space="preserve">页面标题直接注明一图读懂该法。</x:t>
  </x:si>
  <x:si>
    <x:t xml:space="preserve">伊犁州政府网站转载伊犁零距离长图。</x:t>
  </x:si>
  <x:si>
    <x:t xml:space="preserve">https://www.xjyl.gov.cn/xjylz/c112831/zdlyxxgk_list_2.shtml</x:t>
  </x:si>
  <x:si>
    <x:t xml:space="preserve">图解政策、政务新媒体传播</x:t>
  </x:si>
  <x:si>
    <x:t xml:space="preserve">已在伊犁州政府公开列表核验标题和日期。</x:t>
  </x:si>
  <x:si>
    <x:t xml:space="preserve">伊犁零距离</x:t>
  </x:si>
  <x:si>
    <x:t xml:space="preserve">9</x:t>
  </x:si>
  <x:si>
    <x:t xml:space="preserve">2026-07-25</x:t>
  </x:si>
  <x:si>
    <x:t xml:space="preserve">伊犁州人大网</x:t>
  </x:si>
  <x:si>
    <x:t xml:space="preserve">本地新闻</x:t>
  </x:si>
  <x:si>
    <x:t xml:space="preserve">伊犁州人大常委会举办《中华人民共和国民族团结进步促进法》专题宣讲会</x:t>
  </x:si>
  <x:si>
    <x:t xml:space="preserve">网站首页明确列出该专题宣讲会及发布日期2026-07-25。</x:t>
  </x:si>
  <x:si>
    <x:t xml:space="preserve">伊犁州人大常委会组织专题宣讲。</x:t>
  </x:si>
  <x:si>
    <x:t xml:space="preserve">https://rd.xjyl.gov.cn/html/web/rendayaowen/bendixinwen/2080935983133560834.html?t=4</x:t>
  </x:si>
  <x:si>
    <x:t xml:space="preserve">人大宣讲、地方贯彻</x:t>
  </x:si>
  <x:si>
    <x:t xml:space="preserve">已复核伊犁州人大官网详情页。</x:t>
  </x:si>
  <x:si>
    <x:t xml:space="preserve">10</x:t>
  </x:si>
  <x:si>
    <x:t xml:space="preserve">2026-08-01</x:t>
  </x:si>
  <x:si>
    <x:t xml:space="preserve">腾讯新闻（博州发布账号）</x:t>
  </x:si>
  <x:si>
    <x:t xml:space="preserve">博州发布</x:t>
  </x:si>
  <x:si>
    <x:t xml:space="preserve">博尔塔拉蒙古自治州</x:t>
  </x:si>
  <x:si>
    <x:t xml:space="preserve">博州第二十一期铸牢中华民族共同体意识大讲堂开讲</x:t>
  </x:si>
  <x:si>
    <x:t xml:space="preserve">以学习贯彻《中华人民共和国民族团结进步促进法》推进中华民族共同体建设为主题。</x:t>
  </x:si>
  <x:si>
    <x:t xml:space="preserve">7月31日博州开展专题大讲堂，全州近700人参加。</x:t>
  </x:si>
  <x:si>
    <x:t xml:space="preserve">https://news.qq.com/rain/a/20260801A0960200</x:t>
  </x:si>
  <x:si>
    <x:t xml:space="preserve">专题讲座、视频会议、条文解读</x:t>
  </x:si>
  <x:si>
    <x:t xml:space="preserve">已核验账号、发布时间、正文和参与规模。</x:t>
  </x:si>
  <x:si>
    <x:t xml:space="preserve">博尔塔拉新闻网、中新网新疆</x:t>
  </x:si>
  <x:si>
    <x:t xml:space="preserve">11</x:t>
  </x:si>
  <x:si>
    <x:t xml:space="preserve">个人原创观点</x:t>
  </x:si>
  <x:si>
    <x:t xml:space="preserve">马兰花谈法律对基层统战工作的作用</x:t>
  </x:si>
  <x:si>
    <x:t xml:space="preserve">该法的颁布实施，为基层统战工作提供了坚实的法治遵循。</x:t>
  </x:si>
  <x:si>
    <x:t xml:space="preserve">博乐市委统战部干部马兰花表示支持。</x:t>
  </x:si>
  <x:si>
    <x:t xml:space="preserve">支持认可</x:t>
  </x:si>
  <x:si>
    <x:t xml:space="preserve">基层统战、学法用法、服务群众</x:t>
  </x:si>
  <x:si>
    <x:t xml:space="preserve">为媒体报道中的实名引语；不推断其民族、政治立场等个人属性。</x:t>
  </x:si>
  <x:si>
    <x:t xml:space="preserve">是</x:t>
  </x:si>
  <x:si>
    <x:t xml:space="preserve">12</x:t>
  </x:si>
  <x:si>
    <x:t xml:space="preserve">夏依达·帕尔哈提谈青年普法</x:t>
  </x:si>
  <x:si>
    <x:t xml:space="preserve">带头学习法律、宣传法律……为民族团结进步事业贡献青春力量。</x:t>
  </x:si>
  <x:si>
    <x:t xml:space="preserve">博州团委干部夏依达·帕尔哈提表示支持。</x:t>
  </x:si>
  <x:si>
    <x:t xml:space="preserve">青年普法、青少年教育</x:t>
  </x:si>
  <x:si>
    <x:t xml:space="preserve">为媒体报道中的实名引语。</x:t>
  </x:si>
  <x:si>
    <x:t xml:space="preserve">13</x:t>
  </x:si>
  <x:si>
    <x:t xml:space="preserve">2026-07-03</x:t>
  </x:si>
  <x:si>
    <x:t xml:space="preserve">昌吉日报电子版</x:t>
  </x:si>
  <x:si>
    <x:t xml:space="preserve">理论版</x:t>
  </x:si>
  <x:si>
    <x:t xml:space="preserve">昌吉回族自治州</x:t>
  </x:si>
  <x:si>
    <x:t xml:space="preserve">以法治之力铸牢中华民族共同体意识</x:t>
  </x:si>
  <x:si>
    <x:t xml:space="preserve">贯彻实施民族团结进步促进法……</x:t>
  </x:si>
  <x:si>
    <x:t xml:space="preserve">昌吉日报刊发理论文章。</x:t>
  </x:si>
  <x:si>
    <x:t xml:space="preserve">https://pcepaper.cjxww.cn/html/2026-07/03/content_1158_355540.htm</x:t>
  </x:si>
  <x:si>
    <x:t xml:space="preserve">政策解读、依法治理民族事务</x:t>
  </x:si>
  <x:si>
    <x:t xml:space="preserve">已核验电子报原始页面和日期。</x:t>
  </x:si>
  <x:si>
    <x:t xml:space="preserve">14</x:t>
  </x:si>
  <x:si>
    <x:t xml:space="preserve">2026-07-05</x:t>
  </x:si>
  <x:si>
    <x:t xml:space="preserve">新疆统一战线</x:t>
  </x:si>
  <x:si>
    <x:t xml:space="preserve">昌吉州党委统战部供稿</x:t>
  </x:si>
  <x:si>
    <x:t xml:space="preserve">昌吉州：以法为基聚合力 以宣润心促团结</x:t>
  </x:si>
  <x:si>
    <x:t xml:space="preserve">6月23日至7月1日……深入24个村（社区）开展巡回宣讲。</x:t>
  </x:si>
  <x:si>
    <x:t xml:space="preserve">昌吉州构建分层分类普法体系，24场、覆盖3000余人次。</x:t>
  </x:si>
  <x:si>
    <x:t xml:space="preserve">https://www.xjtzb.gov.cn/static/content/tzdt/2026-07-06/1524830701252517888.html</x:t>
  </x:si>
  <x:si>
    <x:t xml:space="preserve">基层宣讲、干部学习、普法覆盖</x:t>
  </x:si>
  <x:si>
    <x:t xml:space="preserve">已核验正文；页面显示日期为7月5日，URL生成日期为7月6日。</x:t>
  </x:si>
  <x:si>
    <x:t xml:space="preserve">昌吉州党委统战部</x:t>
  </x:si>
  <x:si>
    <x:t xml:space="preserve">15</x:t>
  </x:si>
  <x:si>
    <x:t xml:space="preserve">2026-07-10</x:t>
  </x:si>
  <x:si>
    <x:t xml:space="preserve">深刻把握民族团结进步促进法的内在逻辑</x:t>
  </x:si>
  <x:si>
    <x:t xml:space="preserve">宣传好、实施好这部法律，切实把制度优势转化为治理效能。</x:t>
  </x:si>
  <x:si>
    <x:t xml:space="preserve">理论文章从历史、理论和实践逻辑分析法律。</x:t>
  </x:si>
  <x:si>
    <x:t xml:space="preserve">https://pcepaper.cjxww.cn/html/2026-07/10/content_1158_357122.htm</x:t>
  </x:si>
  <x:si>
    <x:t xml:space="preserve">法律阐释、治理效能</x:t>
  </x:si>
  <x:si>
    <x:t xml:space="preserve">已核验电子报页面。</x:t>
  </x:si>
  <x:si>
    <x:t xml:space="preserve">16</x:t>
  </x:si>
  <x:si>
    <x:t xml:space="preserve">巴音郭楞蒙古自治州人民政府</x:t>
  </x:si>
  <x:si>
    <x:t xml:space="preserve">今日巴州</x:t>
  </x:si>
  <x:si>
    <x:t xml:space="preserve">巴音郭楞蒙古自治州</x:t>
  </x:si>
  <x:si>
    <x:t xml:space="preserve">自治州党委常委会召开会议</x:t>
  </x:si>
  <x:si>
    <x:t xml:space="preserve">抓好民族团结进步促进法学习宣传贯彻。</x:t>
  </x:si>
  <x:si>
    <x:t xml:space="preserve">巴州党委常委会部署法律学习宣传贯彻。</x:t>
  </x:si>
  <x:si>
    <x:t xml:space="preserve">https://www.xjbz.gov.cn/xjbz/jrbz/202607/6be59ac3612b4c4eba3db9f02375a6b1.shtml</x:t>
  </x:si>
  <x:si>
    <x:t xml:space="preserve">党委部署、学习宣传贯彻</x:t>
  </x:si>
  <x:si>
    <x:t xml:space="preserve">已核验巴州政府原始页面。</x:t>
  </x:si>
  <x:si>
    <x:t xml:space="preserve">巴音郭楞日报</x:t>
  </x:si>
  <x:si>
    <x:t xml:space="preserve">17</x:t>
  </x:si>
  <x:si>
    <x:t xml:space="preserve">2026-07-01</x:t>
  </x:si>
  <x:si>
    <x:t xml:space="preserve">央广网（青海卫视稿）</x:t>
  </x:si>
  <x:si>
    <x:t xml:space="preserve">媒体活动报道</x:t>
  </x:si>
  <x:si>
    <x:t xml:space="preserve">团结路上一家人大型全媒体活动7月1日正式启幕</x:t>
  </x:si>
  <x:si>
    <x:t xml:space="preserve">新疆巴音郭楞融媒体中心共同开展……大型全媒体活动。</x:t>
  </x:si>
  <x:si>
    <x:t xml:space="preserve">巴州融媒体中心参与8省区10家主流媒体联合全媒体报道。</x:t>
  </x:si>
  <x:si>
    <x:t xml:space="preserve">https://www.cnr.cn/qhfw/zgqh/20260701/t20260701_527685403.shtml</x:t>
  </x:si>
  <x:si>
    <x:t xml:space="preserve">视频与全媒体传播、媒体责任</x:t>
  </x:si>
  <x:si>
    <x:t xml:space="preserve">已核验活动时间和法律关联。</x:t>
  </x:si>
  <x:si>
    <x:t xml:space="preserve">中国日报、中国传媒大学新闻网等</x:t>
  </x:si>
  <x:si>
    <x:t xml:space="preserve">18</x:t>
  </x:si>
  <x:si>
    <x:t xml:space="preserve">克孜勒苏柯尔克孜自治州人民政府</x:t>
  </x:si>
  <x:si>
    <x:t xml:space="preserve">政府会议</x:t>
  </x:si>
  <x:si>
    <x:t xml:space="preserve">克孜勒苏柯尔克孜自治州</x:t>
  </x:si>
  <x:si>
    <x:t xml:space="preserve">自治州政府召开常务会议</x:t>
  </x:si>
  <x:si>
    <x:t xml:space="preserve">抓好民族团结进步促进法贯彻实施。</x:t>
  </x:si>
  <x:si>
    <x:t xml:space="preserve">7月29日克州政府常务会议部署该法贯彻实施。</x:t>
  </x:si>
  <x:si>
    <x:t xml:space="preserve">https://www.xjkz.gov.cn/xjkz/c101706/202607/c954268617744c23a93fd42562250ec7.shtml</x:t>
  </x:si>
  <x:si>
    <x:t xml:space="preserve">政府部署、群众诉求、合法权益</x:t>
  </x:si>
  <x:si>
    <x:t xml:space="preserve">已核验发布机构、日期和正文。</x:t>
  </x:si>
  <x:si>
    <x:t xml:space="preserve">克孜勒苏日报</x:t>
  </x:si>
  <x:si>
    <x:t xml:space="preserve">19</x:t>
  </x:si>
  <x:si>
    <x:t xml:space="preserve">A05要闻</x:t>
  </x:si>
  <x:si>
    <x:t xml:space="preserve">全国（天山网刊载）</x:t>
  </x:si>
  <x:si>
    <x:t xml:space="preserve">全国</x:t>
  </x:si>
  <x:si>
    <x:t xml:space="preserve">为民族团结进步事业行稳致远提供坚实法治保障</x:t>
  </x:si>
  <x:si>
    <x:t xml:space="preserve">自7月1日起施行。</x:t>
  </x:si>
  <x:si>
    <x:t xml:space="preserve">围绕法律施行背景、制度意义、重点内容作系统报道。</x:t>
  </x:si>
  <x:si>
    <x:t xml:space="preserve">https://xjrb.ts.cn/xjrb/20260701/259787.html</x:t>
  </x:si>
  <x:si>
    <x:t xml:space="preserve">法律施行、政策解读、配套实施</x:t>
  </x:si>
  <x:si>
    <x:t xml:space="preserve">天山网专项复核新增。</x:t>
  </x:si>
  <x:si>
    <x:t xml:space="preserve">20</x:t>
  </x:si>
  <x:si>
    <x:t xml:space="preserve">2026-07-14</x:t>
  </x:si>
  <x:si>
    <x:t xml:space="preserve">阿克苏地区、兵团第一师阿拉尔市</x:t>
  </x:si>
  <x:si>
    <x:t xml:space="preserve">地市/兵团师市</x:t>
  </x:si>
  <x:si>
    <x:t xml:space="preserve">切实推动各项重点工作提质增效</x:t>
  </x:si>
  <x:si>
    <x:t xml:space="preserve">做好《中华人民共和国民族团结进步促进法》学习宣传工作。</x:t>
  </x:si>
  <x:si>
    <x:t xml:space="preserve">自治区领导在阿克苏地区和阿拉尔市调研时部署该法学习宣传。</x:t>
  </x:si>
  <x:si>
    <x:t xml:space="preserve">https://xjrb.ts.cn/xjrb/20260714/260273.html</x:t>
  </x:si>
  <x:si>
    <x:t xml:space="preserve">地方调研、学习宣传</x:t>
  </x:si>
  <x:si>
    <x:t xml:space="preserve">正文明确部署该法学习宣传。</x:t>
  </x:si>
  <x:si>
    <x:t xml:space="preserve">21</x:t>
  </x:si>
  <x:si>
    <x:t xml:space="preserve">2026-07-18</x:t>
  </x:si>
  <x:si>
    <x:t xml:space="preserve">牢固树立和践行正确政绩观 推进事关长治久安的根本性基础性长远性工作</x:t>
  </x:si>
  <x:si>
    <x:t xml:space="preserve">全面贯彻落实民族团结进步促进法。</x:t>
  </x:si>
  <x:si>
    <x:t xml:space="preserve">自治区党委理论学习中心组会议明确要求全面贯彻落实该法。</x:t>
  </x:si>
  <x:si>
    <x:t xml:space="preserve">https://xjrb.ts.cn/xjrb/20260718/260478.html</x:t>
  </x:si>
  <x:si>
    <x:t xml:space="preserve">党委学习、贯彻落实、共同体建设</x:t>
  </x:si>
  <x:si>
    <x:t xml:space="preserve">正文存在明确实施要求。</x:t>
  </x:si>
  <x:si>
    <x:t xml:space="preserve">22</x:t>
  </x:si>
  <x:si>
    <x:t xml:space="preserve">2026-07-23</x:t>
  </x:si>
  <x:si>
    <x:t xml:space="preserve">和田地区</x:t>
  </x:si>
  <x:si>
    <x:t xml:space="preserve">地区</x:t>
  </x:si>
  <x:si>
    <x:t xml:space="preserve">有形有感有效铸牢中华民族共同体意识</x:t>
  </x:si>
  <x:si>
    <x:t xml:space="preserve">要全面贯彻落实民族团结进步促进法。</x:t>
  </x:si>
  <x:si>
    <x:t xml:space="preserve">自治区领导在和田调研时部署贯彻该法。</x:t>
  </x:si>
  <x:si>
    <x:t xml:space="preserve">https://xjrb.ts.cn/xjrb/20260723/260647.html</x:t>
  </x:si>
  <x:si>
    <x:t xml:space="preserve">和田调研、文化润疆、语言文字</x:t>
  </x:si>
  <x:si>
    <x:t xml:space="preserve">正文明确提出贯彻实施。</x:t>
  </x:si>
  <x:si>
    <x:t xml:space="preserve">23</x:t>
  </x:si>
  <x:si>
    <x:t xml:space="preserve">2026-07-28</x:t>
  </x:si>
  <x:si>
    <x:t xml:space="preserve">锚定五大战略定位 发挥代表作用助力高质量发展</x:t>
  </x:si>
  <x:si>
    <x:t xml:space="preserve">以民族团结进步促进法施行为契机……</x:t>
  </x:si>
  <x:si>
    <x:t xml:space="preserve">自治区人大代表座谈会提出开展万名代表进万家主题实践。</x:t>
  </x:si>
  <x:si>
    <x:t xml:space="preserve">https://xjrb.ts.cn/xjrb/20260728/app_260870.html</x:t>
  </x:si>
  <x:si>
    <x:t xml:space="preserve">人大代表履职、基层普法</x:t>
  </x:si>
  <x:si>
    <x:t xml:space="preserve">正文包含明确法律实施举措。</x:t>
  </x:si>
  <x:si>
    <x:t xml:space="preserve">24</x:t>
  </x:si>
  <x:si>
    <x:t xml:space="preserve">新疆维吾尔自治区及兵团</x:t>
  </x:si>
  <x:si>
    <x:t xml:space="preserve">自治区/兵团</x:t>
  </x:si>
  <x:si>
    <x:t xml:space="preserve">第十一批中央单位援疆工作总结表彰大会举行</x:t>
  </x:si>
  <x:si>
    <x:t xml:space="preserve">全面贯彻民族团结进步促进法。</x:t>
  </x:si>
  <x:si>
    <x:t xml:space="preserve">援疆干部人才会议将贯彻该法列入工作要求。</x:t>
  </x:si>
  <x:si>
    <x:t xml:space="preserve">https://xjrb.ts.cn/xjrb/20260728/260862.html</x:t>
  </x:si>
  <x:si>
    <x:t xml:space="preserve">对口援疆、文化润疆、贯彻实施</x:t>
  </x:si>
  <x:si>
    <x:t xml:space="preserve">正文明确提出贯彻要求。</x:t>
  </x:si>
  <x:si>
    <x:t xml:space="preserve">25</x:t>
  </x:si>
  <x:si>
    <x:t xml:space="preserve">微信客户端人工发现</x:t>
  </x:si>
  <x:si>
    <x:t xml:space="preserve">微信公众号</x:t>
  </x:si>
  <x:si>
    <x:t xml:space="preserve">官方人士公开观点</x:t>
  </x:si>
  <x:si>
    <x:t xml:space="preserve">全国人大常委会法工委宪法室负责同志谈法律通过的时机与意义</x:t>
  </x:si>
  <x:si>
    <x:t xml:space="preserve">民族团结进步促进法在十五五开局之年表决通过，时机重要、意义重大。</x:t>
  </x:si>
  <x:si>
    <x:t xml:space="preserve">官方人士认为该法通过具有重要时机和制度意义。</x:t>
  </x:si>
  <x:si>
    <x:t xml:space="preserve">https://mp.weixin.qq.com/s/Qjmm-jdOOW11MjsMDQcKQA</x:t>
  </x:si>
  <x:si>
    <x:t xml:space="preserve">立法时机、制度意义</x:t>
  </x:si>
  <x:si>
    <x:t xml:space="preserve">观点原话已在新华网/人大公开同稿中核验。</x:t>
  </x:si>
  <x:si>
    <x:t xml:space="preserve">https://www.bjrd.gov.cn/xwzx/fzlt/202607/t20260701_4741196.html</x:t>
  </x:si>
  <x:si>
    <x:t xml:space="preserve">26</x:t>
  </x:si>
  <x:si>
    <x:t xml:space="preserve">个人公开观点</x:t>
  </x:si>
  <x:si>
    <x:t xml:space="preserve">艾克热木·艾尔肯谈法律施行的法治保障作用</x:t>
  </x:si>
  <x:si>
    <x:t xml:space="preserve">法律的施行必将为推进中华民族共同体建设提供更加坚实的法治保障和广阔发展空间。</x:t>
  </x:si>
  <x:si>
    <x:t xml:space="preserve">北京邮电大学教师艾克热木·艾尔肯认为该法施行具有重要保障作用。</x:t>
  </x:si>
  <x:si>
    <x:t xml:space="preserve">中华民族共同体建设、法治保障</x:t>
  </x:si>
  <x:si>
    <x:t xml:space="preserve">原话已由新华网公开同稿核验。</x:t>
  </x:si>
  <x:si>
    <x:t xml:space="preserve">https://app.xinhuanet.com/news/article.html?articleId=2026063040e57026107340c0a26a00322c7e19ba</x:t>
  </x:si>
  <x:si>
    <x:t xml:space="preserve">27</x:t>
  </x:si>
  <x:si>
    <x:t xml:space="preserve">专家公开观点</x:t>
  </x:si>
  <x:si>
    <x:t xml:space="preserve">严庆谈把法律制度优势转化为治理效能</x:t>
  </x:si>
  <x:si>
    <x:t xml:space="preserve">以法律实施为契机，将制度优势、法律优势转化为行动指向、治理效能。</x:t>
  </x:si>
  <x:si>
    <x:t xml:space="preserve">中央民族大学教授严庆认为应以法律实施为契机落实各项任务。</x:t>
  </x:si>
  <x:si>
    <x:t xml:space="preserve">民族事务治理法治化、交往交流交融</x:t>
  </x:si>
  <x:si>
    <x:t xml:space="preserve">28</x:t>
  </x:si>
  <x:si>
    <x:t xml:space="preserve">网页原始页复核</x:t>
  </x:si>
  <x:si>
    <x:t xml:space="preserve">人大代表公开观点</x:t>
  </x:si>
  <x:si>
    <x:t xml:space="preserve">徐军谈在自然资源管理中落实民族团结进步要求</x:t>
  </x:si>
  <x:si>
    <x:t xml:space="preserve">把民族团结进步要求贯穿自然资源管理全过程，善于运用法治方式推进民族团结工作。</x:t>
  </x:si>
  <x:si>
    <x:t xml:space="preserve">伊犁州人大代表徐军表示支持。</x:t>
  </x:si>
  <x:si>
    <x:t xml:space="preserve">自然资源管理、法治方式</x:t>
  </x:si>
  <x:si>
    <x:t xml:space="preserve">已重新打开伊犁州人大原始详情页核验。</x:t>
  </x:si>
  <x:si>
    <x:t xml:space="preserve">伊犁零距离微信同稿：https://mp.weixin.qq.com/s/gg0u5pWZqgri5UySQKcAIw</x:t>
  </x:si>
  <x:si>
    <x:t xml:space="preserve">29</x:t>
  </x:si>
  <x:si>
    <x:t xml:space="preserve">微信视频号人工核验</x:t>
  </x:si>
  <x:si>
    <x:t xml:space="preserve">微信视频号</x:t>
  </x:si>
  <x:si>
    <x:t xml:space="preserve">新疆日报维吾尔文</x:t>
  </x:si>
  <x:si>
    <x:t xml:space="preserve">中文＋维吾尔文</x:t>
  </x:si>
  <x:si>
    <x:t xml:space="preserve">视频画面自带中文对照</x:t>
  </x:si>
  <x:si>
    <x:t xml:space="preserve">《中华人民共和国民族团结进步促进法》2026年7月1日起正式施行</x:t>
  </x:si>
  <x:si>
    <x:t xml:space="preserve">视频画面以中文和维吾尔文介绍该法正式施行。</x:t>
  </x:si>
  <x:si>
    <x:t xml:space="preserve">双语宣传视频，人工核验可见点赞944、转发990、评论139。</x:t>
  </x:si>
  <x:si>
    <x:t xml:space="preserve">https://weixin.qq.com/sph/AwzENlIwWa</x:t>
  </x:si>
  <x:si>
    <x:t xml:space="preserve">维吾尔文普法、法律施行</x:t>
  </x:si>
  <x:si>
    <x:t xml:space="preserve">944</x:t>
  </x:si>
  <x:si>
    <x:t xml:space="preserve">139</x:t>
  </x:si>
  <x:si>
    <x:t xml:space="preserve">990</x:t>
  </x:si>
  <x:si>
    <x:t xml:space="preserve">2026-08-07人工打开视频号原始视频核验。</x:t>
  </x:si>
  <x:si>
    <x:t xml:space="preserve">30</x:t>
  </x:si>
  <x:si>
    <x:t xml:space="preserve">2026-07-09</x:t>
  </x:si>
  <x:si>
    <x:t xml:space="preserve">微信视频号评论区</x:t>
  </x:si>
  <x:si>
    <x:t xml:space="preserve">用户评论/留言</x:t>
  </x:si>
  <x:si>
    <x:t xml:space="preserve">用户就维吾尔语教学提出咨询</x:t>
  </x:si>
  <x:si>
    <x:t xml:space="preserve">什么时候恢复维吾尔语教学</x:t>
  </x:si>
  <x:si>
    <x:t xml:space="preserve">用户在维吾尔文宣传视频评论区询问维吾尔语教学恢复时间。</x:t>
  </x:si>
  <x:si>
    <x:t xml:space="preserve">B</x:t>
  </x:si>
  <x:si>
    <x:t xml:space="preserve">咨询疑问</x:t>
  </x:si>
  <x:si>
    <x:t xml:space="preserve">维吾尔语教学、语言教育</x:t>
  </x:si>
  <x:si>
    <x:t xml:space="preserve">2026-08-07人工复核时页面显示29天前，记录为2026-07-09。</x:t>
  </x:si>
  <x:si>
    <x:t xml:space="preserve">32</x:t>
  </x:si>
  <x:si>
    <x:t xml:space="preserve">2026-07-06起</x:t>
  </x:si>
  <x:si>
    <x:t xml:space="preserve">用户评论/留言汇总</x:t>
  </x:si>
  <x:si>
    <x:t xml:space="preserve">中文/表情</x:t>
  </x:si>
  <x:si>
    <x:t xml:space="preserve">评论区支持性互动汇总</x:t>
  </x:si>
  <x:si>
    <x:t xml:space="preserve">主要为👍、❤️、🌹等正向表情及祝福性表达。</x:t>
  </x:si>
  <x:si>
    <x:t xml:space="preserve">人工浏览139条评论，137条为支持性/正向互动。</x:t>
  </x:si>
  <x:si>
    <x:t xml:space="preserve">正向互动、表情评论</x:t>
  </x:si>
  <x:si>
    <x:t xml:space="preserve">137</x:t>
  </x:si>
  <x:si>
    <x:t xml:space="preserve">按原始评论数统计，不去重。</x:t>
  </x:si>
  <x:si>
    <x:t xml:space="preserve">33</x:t>
  </x:si>
  <x:si>
    <x:t xml:space="preserve">2026-08-04</x:t>
  </x:si>
  <x:si>
    <x:t xml:space="preserve">转载</x:t>
  </x:si>
  <x:si>
    <x:t xml:space="preserve">和田市人民政府</x:t>
  </x:si>
  <x:si>
    <x:t xml:space="preserve">自治区要闻</x:t>
  </x:si>
  <x:si>
    <x:t xml:space="preserve">新疆全区</x:t>
  </x:si>
  <x:si>
    <x:t xml:space="preserve">7月31日自治区人大常委会举办专题培训班，100名各级代表参加。</x:t>
  </x:si>
  <x:si>
    <x:t xml:space="preserve">自治区人大首次就一部法律举办人大代表专题培训班。</x:t>
  </x:si>
  <x:si>
    <x:t xml:space="preserve">https://www.hts.gov.cn/...</x:t>
  </x:si>
  <x:si>
    <x:t xml:space="preserve">学习培训与宣传覆盖</x:t>
  </x:si>
  <x:si>
    <x:t xml:space="preserve">34</x:t>
  </x:si>
  <x:si>
    <x:t xml:space="preserve">2026-07-19</x:t>
  </x:si>
  <x:si>
    <x:t xml:space="preserve">原始网页</x:t>
  </x:si>
  <x:si>
    <x:t xml:space="preserve">中国新闻网</x:t>
  </x:si>
  <x:si>
    <x:t xml:space="preserve">哈密市教育局/文旅局/伊吾县委统战部</x:t>
  </x:si>
  <x:si>
    <x:t xml:space="preserve">哈密市</x:t>
  </x:si>
  <x:si>
    <x:t xml:space="preserve">地级市</x:t>
  </x:si>
  <x:si>
    <x:t xml:space="preserve">法润哈密石榴红！多部门深学细悟《民族团结进步促进法》</x:t>
  </x:si>
  <x:si>
    <x:t xml:space="preserve">哈密市教育系统234场宣教，研学70场，宣讲76场；伊吾县54场巡回宣讲。</x:t>
  </x:si>
  <x:si>
    <x:t xml:space="preserve">哈密市多层次推进法律宣传。</x:t>
  </x:si>
  <x:si>
    <x:t xml:space="preserve">http://www.xj.chinanews.com.cn/...</x:t>
  </x:si>
  <x:si>
    <x:t xml:space="preserve">基层普法与群众参与；学习培训与宣传覆盖</x:t>
  </x:si>
  <x:si>
    <x:t xml:space="preserve">35</x:t>
  </x:si>
  <x:si>
    <x:t xml:space="preserve">新疆人大</x:t>
  </x:si>
  <x:si>
    <x:t xml:space="preserve">乌鲁木齐市人大常委会机关党委</x:t>
  </x:si>
  <x:si>
    <x:t xml:space="preserve">乌鲁木齐市</x:t>
  </x:si>
  <x:si>
    <x:t xml:space="preserve">乌鲁木齐市人大常委会举办专题讲座深入学习《民族团结进步促进法》</x:t>
  </x:si>
  <x:si>
    <x:t xml:space="preserve">7月28日邀请新疆师范大学教授做专题讲座。</x:t>
  </x:si>
  <x:si>
    <x:t xml:space="preserve">市人大开展专题讲座。</x:t>
  </x:si>
  <x:si>
    <x:t xml:space="preserve">https://www.xjpcsc.gov.cn/...</x:t>
  </x:si>
  <x:si>
    <x:t xml:space="preserve">36</x:t>
  </x:si>
  <x:si>
    <x:t xml:space="preserve">2026-07-16</x:t>
  </x:si>
  <x:si>
    <x:t xml:space="preserve">乌什县人大常委会</x:t>
  </x:si>
  <x:si>
    <x:t xml:space="preserve">乌什县</x:t>
  </x:si>
  <x:si>
    <x:t xml:space="preserve">县</x:t>
  </x:si>
  <x:si>
    <x:t xml:space="preserve">以法治赋能民族工作 以实干践行人大使命</x:t>
  </x:si>
  <x:si>
    <x:t xml:space="preserve">7月14日特邀塔里木大学法学院专家授课。</x:t>
  </x:si>
  <x:si>
    <x:t xml:space="preserve">乌什县人大组织专题学习。</x:t>
  </x:si>
  <x:si>
    <x:t xml:space="preserve">37</x:t>
  </x:si>
  <x:si>
    <x:t xml:space="preserve">昌吉州民委/司法局</x:t>
  </x:si>
  <x:si>
    <x:t xml:space="preserve">昌吉州</x:t>
  </x:si>
  <x:si>
    <x:t xml:space="preserve">昌吉州开展专题直播访谈</x:t>
  </x:si>
  <x:si>
    <x:t xml:space="preserve">7月17日联合新疆广播电视台推出「法治进行时」直播。</x:t>
  </x:si>
  <x:si>
    <x:t xml:space="preserve">昌吉州通过直播访谈开展普法宣传。</x:t>
  </x:si>
  <x:si>
    <x:t xml:space="preserve">学习培训与宣传覆盖；基层普法与群众参与</x:t>
  </x:si>
  <x:si>
    <x:t xml:space="preserve">38</x:t>
  </x:si>
  <x:si>
    <x:t xml:space="preserve">2026-08-03</x:t>
  </x:si>
  <x:si>
    <x:t xml:space="preserve">人民代表网</x:t>
  </x:si>
  <x:si>
    <x:t xml:space="preserve">伊宁好地方客户端</x:t>
  </x:si>
  <x:si>
    <x:t xml:space="preserve">伊宁市胡地亚于孜镇</x:t>
  </x:si>
  <x:si>
    <x:t xml:space="preserve">镇</x:t>
  </x:si>
  <x:si>
    <x:t xml:space="preserve">基层实践搭上立法直通车</x:t>
  </x:si>
  <x:si>
    <x:t xml:space="preserve">群众建议被采纳写入该法第28条。</x:t>
  </x:si>
  <x:si>
    <x:t xml:space="preserve">基层立法联系点案例。</x:t>
  </x:si>
  <x:si>
    <x:t xml:space="preserve">https://www.rmdbw.cn/...</x:t>
  </x:si>
  <x:si>
    <x:t xml:space="preserve">基层普法与群众参与；立法与公众参与</x:t>
  </x:si>
  <x:si>
    <x:t xml:space="preserve">来源为人民代表网，非原始首发</x:t>
  </x:si>
  <x:si>
    <x:t xml:space="preserve">39</x:t>
  </x:si>
  <x:si>
    <x:t xml:space="preserve">新疆司法厅</x:t>
  </x:si>
  <x:si>
    <x:t xml:space="preserve">自治区人大常委会</x:t>
  </x:si>
  <x:si>
    <x:t xml:space="preserve">自治区人大常委会召开学习贯彻实施座谈会</x:t>
  </x:si>
  <x:si>
    <x:t xml:space="preserve">7月29日要求加快制定地方性法规。</x:t>
  </x:si>
  <x:si>
    <x:t xml:space="preserve">自治区人大座谈会部署法规衔接配套。</x:t>
  </x:si>
  <x:si>
    <x:t xml:space="preserve">http://sft.xinjiang.gov.cn/...</x:t>
  </x:si>
  <x:si>
    <x:t xml:space="preserve">地方法规衔接与执行机制</x:t>
  </x:si>
  <x:si>
    <x:t xml:space="preserve">40</x:t>
  </x:si>
  <x:si>
    <x:t xml:space="preserve">石榴云-新疆日报</x:t>
  </x:si>
  <x:si>
    <x:t xml:space="preserve">自治区人大代表</x:t>
  </x:si>
  <x:si>
    <x:t xml:space="preserve">个人观点（媒体引语）</x:t>
  </x:si>
  <x:si>
    <x:t xml:space="preserve">和田县</x:t>
  </x:si>
  <x:si>
    <x:t xml:space="preserve">阿不都艾海提·吉力力代表发言</x:t>
  </x:si>
  <x:si>
    <x:t xml:space="preserve">代表表示将立足三尺讲台，把铸牢中华民族共同体意识融入育人全过程。</x:t>
  </x:si>
  <x:si>
    <x:t xml:space="preserve">人大代表表态。</x:t>
  </x:si>
  <x:si>
    <x:t xml:space="preserve">公开具名引语</x:t>
  </x:si>
  <x:si>
    <x:t xml:space="preserve">41</x:t>
  </x:si>
  <x:si>
    <x:t xml:space="preserve">市人大代表</x:t>
  </x:si>
  <x:si>
    <x:t xml:space="preserve">市人大代表周围发言</x:t>
  </x:si>
  <x:si>
    <x:t xml:space="preserve">代表表示将当好普法宣传员深入选区宣讲。</x:t>
  </x:si>
  <x:si>
    <x:t xml:space="preserve">42</x:t>
  </x:si>
  <x:si>
    <x:t xml:space="preserve">2026-07-30</x:t>
  </x:si>
  <x:si>
    <x:t xml:space="preserve">木垒零距离</x:t>
  </x:si>
  <x:si>
    <x:t xml:space="preserve">木垒县发展和改革委员会</x:t>
  </x:si>
  <x:si>
    <x:t xml:space="preserve">木垒县</x:t>
  </x:si>
  <x:si>
    <x:t xml:space="preserve">法治引领民族团结，实干赋能高质量发展</x:t>
  </x:si>
  <x:si>
    <x:t xml:space="preserve">木垒县发改委组织全体干部职工开展该法专题集中学习。</x:t>
  </x:si>
  <x:si>
    <x:t xml:space="preserve">木垒县发改委组织干部专题学习。</x:t>
  </x:si>
  <x:si>
    <x:t xml:space="preserve">木垒零距离 2026-07-30</x:t>
  </x:si>
  <x:si>
    <x:t xml:space="preserve">43</x:t>
  </x:si>
  <x:si>
    <x:t xml:space="preserve">丝路同心圆</x:t>
  </x:si>
  <x:si>
    <x:t xml:space="preserve">昌吉州/木垒县</x:t>
  </x:si>
  <x:si>
    <x:t xml:space="preserve">自治州/县</x:t>
  </x:si>
  <x:si>
    <x:t xml:space="preserve">「同心庭州」宣讲团深入24个村社区开展巡回宣讲，覆盖3000余人次。</x:t>
  </x:si>
  <x:si>
    <x:t xml:space="preserve">昌吉州组织巡回宣讲覆盖木垒等县。</x:t>
  </x:si>
  <x:si>
    <x:t xml:space="preserve">木垒零距离 2026-07-06</x:t>
  </x:si>
  <x:si>
    <x:t xml:space="preserve">基层普法与群众参与</x:t>
  </x:si>
  <x:si>
    <x:t xml:space="preserve">44</x:t>
  </x:si>
  <x:si>
    <x:t xml:space="preserve">石榴云/新疆日报</x:t>
  </x:si>
  <x:si>
    <x:t xml:space="preserve">陈小江艾尔肯·吐尼亚孜在自治区民委调研座谈</x:t>
  </x:si>
  <x:si>
    <x:t xml:space="preserve">7月16日自治区主要领导调研民委，部署该法贯彻实施。</x:t>
  </x:si>
  <x:si>
    <x:t xml:space="preserve">自治区主要领导调研民委。</x:t>
  </x:si>
  <x:si>
    <x:t xml:space="preserve">木垒零距离 2026-07-17</x:t>
  </x:si>
  <x:si>
    <x:t xml:space="preserve">45</x:t>
  </x:si>
  <x:si>
    <x:t xml:space="preserve">塔什库尔干塔吉克发布</x:t>
  </x:si>
  <x:si>
    <x:t xml:space="preserve">法治塔什库尔干</x:t>
  </x:si>
  <x:si>
    <x:t xml:space="preserve">塔什库尔干县</x:t>
  </x:si>
  <x:si>
    <x:t xml:space="preserve">法治赋能民族团结、共建平安和谐乡村</x:t>
  </x:si>
  <x:si>
    <x:t xml:space="preserve">8月3日塔县司法局在班迪尔乡开展国旗下普法宣讲。</x:t>
  </x:si>
  <x:si>
    <x:t xml:space="preserve">塔县司法局开展国旗下普法。</x:t>
  </x:si>
  <x:si>
    <x:t xml:space="preserve">塔什库尔干塔吉克发布 2026-08-04</x:t>
  </x:si>
  <x:si>
    <x:t xml:space="preserve">46</x:t>
  </x:si>
  <x:si>
    <x:t xml:space="preserve">深学细悟民族团结法规 普法厚植共同体意识</x:t>
  </x:si>
  <x:si>
    <x:t xml:space="preserve">塔县司法局在塔什库尔干乡开展普法宣传，覆盖300余人次。</x:t>
  </x:si>
  <x:si>
    <x:t xml:space="preserve">塔县司法局开展乡镇普法。</x:t>
  </x:si>
  <x:si>
    <x:t xml:space="preserve">塔什库尔干塔吉克发布 2026-07-30</x:t>
  </x:si>
  <x:si>
    <x:t xml:space="preserve">47</x:t>
  </x:si>
  <x:si>
    <x:t xml:space="preserve">2026-07-21</x:t>
  </x:si>
  <x:si>
    <x:t xml:space="preserve">巴里坤哈萨克发布</x:t>
  </x:si>
  <x:si>
    <x:t xml:space="preserve">哈密统战之声</x:t>
  </x:si>
  <x:si>
    <x:t xml:space="preserve">巴里坤县</x:t>
  </x:si>
  <x:si>
    <x:t xml:space="preserve">法治春风拂草原 团结花开别样红</x:t>
  </x:si>
  <x:si>
    <x:t xml:space="preserve">巴里坤县系统部署14项具体任务，累计开展80余场专题学习。</x:t>
  </x:si>
  <x:si>
    <x:t xml:space="preserve">巴里坤县部署14项任务推进法律实施。</x:t>
  </x:si>
  <x:si>
    <x:t xml:space="preserve">巴里坤哈萨克发布 2026-07-21</x:t>
  </x:si>
  <x:si>
    <x:t xml:space="preserve">48</x:t>
  </x:si>
  <x:si>
    <x:t xml:space="preserve">察布查尔县零距离</x:t>
  </x:si>
  <x:si>
    <x:t xml:space="preserve">伊犁州</x:t>
  </x:si>
  <x:si>
    <x:t xml:space="preserve">民族团结进步促进法何以激活伊犁河谷团结新动能？</x:t>
  </x:si>
  <x:si>
    <x:t xml:space="preserve">伊犁州通过精准普法、清单压责等举措推动法律落地。</x:t>
  </x:si>
  <x:si>
    <x:t xml:space="preserve">伊犁州推进该法落地。</x:t>
  </x:si>
  <x:si>
    <x:t xml:space="preserve">察布查尔县零距离 2026-07-03</x:t>
  </x:si>
  <x:si>
    <x:t xml:space="preserve">法律施行与总体解读</x:t>
  </x:si>
  <x:si>
    <x:t xml:space="preserve">49</x:t>
  </x:si>
  <x:si>
    <x:t xml:space="preserve">CUPK工商马院</x:t>
  </x:si>
  <x:si>
    <x:t xml:space="preserve">察布查尔县</x:t>
  </x:si>
  <x:si>
    <x:t xml:space="preserve">行走的思政课：寻脉锡伯绣韵，织就民族团结锦绣</x:t>
  </x:si>
  <x:si>
    <x:t xml:space="preserve">高校实践队赴察布查尔县调研锡伯族刺绣与非遗传承。</x:t>
  </x:si>
  <x:si>
    <x:t xml:space="preserve">高校实践队调研非遗与民族团结。</x:t>
  </x:si>
  <x:si>
    <x:t xml:space="preserve">察布查尔县零距离 2026-07-28</x:t>
  </x:si>
  <x:si>
    <x:t xml:space="preserve">文化交流与非遗保护</x:t>
  </x:si>
  <x:si>
    <x:t xml:space="preserve">正文未直接提及该法，属间接关联</x:t>
  </x:si>
  <x:si>
    <x:t xml:space="preserve">50</x:t>
  </x:si>
  <x:si>
    <x:t xml:space="preserve">焉耆回族发布</x:t>
  </x:si>
  <x:si>
    <x:t xml:space="preserve">巴州统一战线</x:t>
  </x:si>
  <x:si>
    <x:t xml:space="preserve">焉耆县</x:t>
  </x:si>
  <x:si>
    <x:t xml:space="preserve">焉耆县开展《中华人民共和国民族团结进步促进法》集体宣传教育</x:t>
  </x:si>
  <x:si>
    <x:t xml:space="preserve">8月3日焉耆县利用升国旗开展专题宣讲，覆盖9个乡镇3500余人次。</x:t>
  </x:si>
  <x:si>
    <x:t xml:space="preserve">焉耆县开展国旗下普法。</x:t>
  </x:si>
  <x:si>
    <x:t xml:space="preserve">焉耆回族发布 2026-08-03</x:t>
  </x:si>
  <x:si>
    <x:t xml:space="preserve">51</x:t>
  </x:si>
  <x:si>
    <x:t xml:space="preserve">和布克赛尔蒙古发布</x:t>
  </x:si>
  <x:si>
    <x:t xml:space="preserve">和丰统战</x:t>
  </x:si>
  <x:si>
    <x:t xml:space="preserve">和布克赛尔县</x:t>
  </x:si>
  <x:si>
    <x:t xml:space="preserve">和布克赛尔县巴音敖瓦乡金泉社区开展入户宣讲活动</x:t>
  </x:si>
  <x:si>
    <x:t xml:space="preserve">社区组织宣讲员志愿者开展入户走访宣讲。</x:t>
  </x:si>
  <x:si>
    <x:t xml:space="preserve">和布克赛尔县社区开展入户宣讲。</x:t>
  </x:si>
  <x:si>
    <x:t xml:space="preserve">和布克赛尔蒙古发布 2026-07-31</x:t>
  </x:si>
  <x:si>
    <x:t xml:space="preserve">52</x:t>
  </x:si>
  <x:si>
    <x:t xml:space="preserve">法润和布克赛尔</x:t>
  </x:si>
  <x:si>
    <x:t xml:space="preserve">法治大篷车开进松海湾 双语普法情暖牧区</x:t>
  </x:si>
  <x:si>
    <x:t xml:space="preserve">7月11日县司法局联合高校学子走进牧区双语普法。</x:t>
  </x:si>
  <x:si>
    <x:t xml:space="preserve">县司法局联合高校走进牧区普法。</x:t>
  </x:si>
  <x:si>
    <x:t xml:space="preserve">和布克赛尔蒙古发布 2026-07-14</x:t>
  </x:si>
  <x:si>
    <x:t xml:space="preserve">53</x:t>
  </x:si>
  <x:si>
    <x:t xml:space="preserve">知乎</x:t>
  </x:si>
  <x:si>
    <x:t xml:space="preserve">南海西侯</x:t>
  </x:si>
  <x:si>
    <x:t xml:space="preserve">用户评论</x:t>
  </x:si>
  <x:si>
    <x:t xml:space="preserve">非地方行政</x:t>
  </x:si>
  <x:si>
    <x:t xml:space="preserve">评论回复：我满族人，反对埋没满语。</x:t>
  </x:si>
  <x:si>
    <x:t xml:space="preserve">用户表达对满语传承的关切。</x:t>
  </x:si>
  <x:si>
    <x:t xml:space="preserve">知乎 2026-08-03</x:t>
  </x:si>
  <x:si>
    <x:t xml:space="preserve">咨询/诉求</x:t>
  </x:si>
  <x:si>
    <x:t xml:space="preserve">少数民族语言保护</x:t>
  </x:si>
  <x:si>
    <x:t xml:space="preserve">已复核：用户表达对满语传承的关切，属语言权利诉求，非对法律的直接批评；态度分类无误。复核人：编号九负责人；复核时间：2026-08-06</x:t>
  </x:si>
  <x:si>
    <x:t xml:space="preserve">54</x:t>
  </x:si>
  <x:si>
    <x:t xml:space="preserve">知乎用户</x:t>
  </x:si>
  <x:si>
    <x:t xml:space="preserve">评论回复：没人阻止你说满语，你不愿意说怪谁？</x:t>
  </x:si>
  <x:si>
    <x:t xml:space="preserve">用户回应他人关于满语的评论。</x:t>
  </x:si>
  <x:si>
    <x:t xml:space="preserve">用户回应他人观点。</x:t>
  </x:si>
  <x:si>
    <x:t xml:space="preserve">观点对立</x:t>
  </x:si>
  <x:si>
    <x:t xml:space="preserve">已复核：用户回应他人观点，属观点对立，非对法律的批评；态度分类无误。复核人：编号九负责人；复核时间：2026-08-06</x:t>
  </x:si>
  <x:si>
    <x:t xml:space="preserve">55</x:t>
  </x:si>
  <x:si>
    <x:t xml:space="preserve">微博</x:t>
  </x:si>
  <x:si>
    <x:t xml:space="preserve">梦入虚林</x:t>
  </x:si>
  <x:si>
    <x:t xml:space="preserve">新华社博文评论区：怎么执行呢，处罚力度是多少</x:t>
  </x:si>
  <x:si>
    <x:t xml:space="preserve">用户就法律执行提出疑问。</x:t>
  </x:si>
  <x:si>
    <x:t xml:space="preserve">微博 2026-07-03</x:t>
  </x:si>
  <x:si>
    <x:t xml:space="preserve">法律实施与执行</x:t>
  </x:si>
  <x:si>
    <x:t xml:space="preserve">已复核：用户就法律执行提出疑问，属咨询类，非批评；态度分类无误。复核人：编号九负责人；复核时间：2026-08-06</x:t>
  </x:si>
  <x:si>
    <x:t xml:space="preserve">56</x:t>
  </x:si>
  <x:si>
    <x:t xml:space="preserve">2026-07-02</x:t>
  </x:si>
  <x:si>
    <x:t xml:space="preserve">B站</x:t>
  </x:si>
  <x:si>
    <x:t xml:space="preserve">QH-R</x:t>
  </x:si>
  <x:si>
    <x:t xml:space="preserve">评论区：大家一定要团结，有了这部法律那群搅浑水就没地方逃</x:t>
  </x:si>
  <x:si>
    <x:t xml:space="preserve">用户表示支持。</x:t>
  </x:si>
  <x:si>
    <x:t xml:space="preserve">B站 2026-07-02</x:t>
  </x:si>
  <x:si>
    <x:t xml:space="preserve">法律施行与总体评价</x:t>
  </x:si>
  <x:si>
    <x:t xml:space="preserve">57</x:t>
  </x:si>
  <x:si>
    <x:t xml:space="preserve">评论区：这种要实在看着烦在b站上举报就行</x:t>
  </x:si>
  <x:si>
    <x:t xml:space="preserve">用户建议举报不良内容。</x:t>
  </x:si>
  <x:si>
    <x:t xml:space="preserve">B站 2026-07-04</x:t>
  </x:si>
  <x:si>
    <x:t xml:space="preserve">网络平台责任</x:t>
  </x:si>
  <x:si>
    <x:t xml:space="preserve">58</x:t>
  </x:si>
  <x:si>
    <x:t xml:space="preserve">评论区：不错</x:t>
  </x:si>
  <x:si>
    <x:t xml:space="preserve">用户简短表态。</x:t>
  </x:si>
  <x:si>
    <x:t xml:space="preserve">59</x:t>
  </x:si>
  <x:si>
    <x:t xml:space="preserve">千冰百丈</x:t>
  </x:si>
  <x:si>
    <x:t xml:space="preserve">评论区：敌人越是反对，越是说明我们做对了</x:t>
  </x:si>
  <x:si>
    <x:t xml:space="preserve">用户表态支持。</x:t>
  </x:si>
  <x:si>
    <x:t xml:space="preserve">B站 2026-07-03</x:t>
  </x:si>
  <x:si>
    <x:t xml:space="preserve">国际舆论与回应</x:t>
  </x:si>
  <x:si>
    <x:t xml:space="preserve">60</x:t>
  </x:si>
  <x:si>
    <x:t xml:space="preserve">TGT_Leader</x:t>
  </x:si>
  <x:si>
    <x:t xml:space="preserve">评论区：中国人不受影响，只有炒民族议题希望中国分裂的不可名状之物会受影响</x:t>
  </x:si>
  <x:si>
    <x:t xml:space="preserve">用户分析法律影响范围。</x:t>
  </x:si>
  <x:si>
    <x:t xml:space="preserve">B站 2026-07-01</x:t>
  </x:si>
  <x:si>
    <x:t xml:space="preserve">法律适用范围</x:t>
  </x:si>
  <x:si>
    <x:t xml:space="preserve">61</x:t>
  </x:si>
  <x:si>
    <x:t xml:space="preserve">-土豆吞噬者-</x:t>
  </x:si>
  <x:si>
    <x:t xml:space="preserve">评论区：早该这么干了，国内应该加倍罚</x:t>
  </x:si>
  <x:si>
    <x:t xml:space="preserve">用户表态支持并建议加强处罚。</x:t>
  </x:si>
  <x:si>
    <x:t xml:space="preserve">法律责任与处罚</x:t>
  </x:si>
  <x:si>
    <x:t xml:space="preserve">62</x:t>
  </x:si>
  <x:si>
    <x:t xml:space="preserve">凯凯大神的</x:t>
  </x:si>
  <x:si>
    <x:t xml:space="preserve">评论区：先把矮大紧、在长城敲鬼子太鼓的还有那些专门挑动社会矛盾的假砖家们给办啰</x:t>
  </x:si>
  <x:si>
    <x:t xml:space="preserve">用户建议处理特定对象。</x:t>
  </x:si>
  <x:si>
    <x:t xml:space="preserve">具体执法对象</x:t>
  </x:si>
  <x:si>
    <x:t xml:space="preserve">63</x:t>
  </x:si>
  <x:si>
    <x:t xml:space="preserve">2026-07-13</x:t>
  </x:si>
  <x:si>
    <x:t xml:space="preserve">谁谓我无忧我忧谁人知</x:t>
  </x:si>
  <x:si>
    <x:t xml:space="preserve">评论区：特朗普说了不该说的话，可以逮捕？</x:t>
  </x:si>
  <x:si>
    <x:t xml:space="preserve">用户就域外适用提出疑问。</x:t>
  </x:si>
  <x:si>
    <x:t xml:space="preserve">B站 2026-07-13</x:t>
  </x:si>
  <x:si>
    <x:t xml:space="preserve">第63条域外适用</x:t>
  </x:si>
  <x:si>
    <x:t xml:space="preserve">已复核：用户就第63条域外适用提出疑问，属咨询类；态度分类无误。复核人：编号九负责人；复核时间：2026-08-06</x:t>
  </x:si>
  <x:si>
    <x:t xml:space="preserve">发布部门/栏目</x:t>
  </x:si>
  <x:si>
    <x:t xml:space="preserve">文件或活动名称</x:t>
  </x:si>
  <x:si>
    <x:t xml:space="preserve">主要实施内容</x:t>
  </x:si>
  <x:si>
    <x:t xml:space="preserve">是否包含意见征集、群众留言或公开答复</x:t>
  </x:si>
  <x:si>
    <x:t xml:space="preserve">7月3日自治区举办专题辅导讲座</x:t>
  </x:si>
  <x:si>
    <x:t xml:space="preserve">未发现公开意见征集</x:t>
  </x:si>
  <x:si>
    <x:t xml:space="preserve">深入学习宣传贯彻实施民族团结进步促进法</x:t>
  </x:si>
  <x:si>
    <x:t xml:space="preserve">7月23日自治区人民政府常务会议专题学习该法。</x:t>
  </x:si>
  <x:si>
    <x:t xml:space="preserve">7月29日自治区人大常委会专题座谈，部署法规衔接配套。</x:t>
  </x:si>
  <x:si>
    <x:t xml:space="preserve">百名人大代表宣讲骨干专题培训班开班</x:t>
  </x:si>
  <x:si>
    <x:t xml:space="preserve">伊犁州人大常委会举办专题宣讲会</x:t>
  </x:si>
  <x:si>
    <x:t xml:space="preserve">阿克苏地区/兵团第一师</x:t>
  </x:si>
  <x:si>
    <x:t xml:space="preserve">自治区领导调研时明确部署该法学习宣传工作。</x:t>
  </x:si>
  <x:si>
    <x:t xml:space="preserve">牢固树立和践行正确政绩观</x:t>
  </x:si>
  <x:si>
    <x:t xml:space="preserve">自治区党委理论学习中心组明确要求全面贯彻落实该法。</x:t>
  </x:si>
  <x:si>
    <x:t xml:space="preserve">自治区领导在和田调研时部署全面贯彻落实该法。</x:t>
  </x:si>
  <x:si>
    <x:t xml:space="preserve">会议将全面贯彻该法列入工作要求。</x:t>
  </x:si>
  <x:si>
    <x:t xml:space="preserve">新疆日报维吾尔文视频号</x:t>
  </x:si>
  <x:si>
    <x:t xml:space="preserve">《中华人民共和国民族团结进步促进法》7月1日起正式施行</x:t>
  </x:si>
  <x:si>
    <x:t xml:space="preserve">中文＋维吾尔文双语宣传视频。</x:t>
  </x:si>
  <x:si>
    <x:t xml:space="preserve">评论区已人工复核：137条支持性互动、1条咨询疑问、1条维吾尔文评论待语言复核</x:t>
  </x:si>
  <x:si>
    <x:t xml:space="preserve">发布日期/状态</x:t>
  </x:si>
  <x:si>
    <x:t xml:space="preserve">标题或线索</x:t>
  </x:si>
  <x:si>
    <x:t xml:space="preserve">排除原因</x:t>
  </x:si>
  <x:si>
    <x:t xml:space="preserve">说明</x:t>
  </x:si>
  <x:si>
    <x:t xml:space="preserve">2026-06-29</x:t>
  </x:si>
  <x:si>
    <x:t xml:space="preserve">新疆民委</x:t>
  </x:si>
  <x:si>
    <x:t xml:space="preserve">新疆推出学习宣传贯彻民族团结进步促进法16项举措</x:t>
  </x:si>
  <x:si>
    <x:t xml:space="preserve">https://mwzjswj.xinjiang.gov.cn/xjmzw/zcjd/nav_list.shtml</x:t>
  </x:si>
  <x:si>
    <x:t xml:space="preserve">发布时间不在范围内</x:t>
  </x:si>
  <x:si>
    <x:t xml:space="preserve">作为实施背景参考</x:t>
  </x:si>
  <x:si>
    <x:t xml:space="preserve">新疆农业农村厅</x:t>
  </x:si>
  <x:si>
    <x:t xml:space="preserve">深入贯彻实施民族团结进步促进法</x:t>
  </x:si>
  <x:si>
    <x:t xml:space="preserve">https://nynct.xinjiang.gov.cn/xjnynct/c113580/202606/7869f9d4120b418c8e0824c528253063.shtml</x:t>
  </x:si>
  <x:si>
    <x:t xml:space="preserve">文章与任务高度相关但不在固定时间范围内</x:t>
  </x:si>
  <x:si>
    <x:t xml:space="preserve">2026-06-04</x:t>
  </x:si>
  <x:si>
    <x:t xml:space="preserve">克州政府网</x:t>
  </x:si>
  <x:si>
    <x:t xml:space="preserve">铸牢共同体 共绘同心圆（克州）</x:t>
  </x:si>
  <x:si>
    <x:t xml:space="preserve">https://www.xjkz.gov.cn/xjkz/c123414/202606/2133a1095ca64c82a72633a0a35699de.shtml</x:t>
  </x:si>
  <x:si>
    <x:t xml:space="preserve">虽明确提及法律生效日期但不计入有效结果</x:t>
  </x:si>
  <x:si>
    <x:t xml:space="preserve">搜狐号</x:t>
  </x:si>
  <x:si>
    <x:t xml:space="preserve">巴州：多点发力推动民族团结进步促进法落地生根</x:t>
  </x:si>
  <x:si>
    <x:t xml:space="preserve">https://www.sohu.com/a/1054221229_121443915</x:t>
  </x:si>
  <x:si>
    <x:t xml:space="preserve">只有二手转述</x:t>
  </x:si>
  <x:si>
    <x:t xml:space="preserve">未找到稳定原始发布页</x:t>
  </x:si>
  <x:si>
    <x:t xml:space="preserve">伊犁州政府网</x:t>
  </x:si>
  <x:si>
    <x:t xml:space="preserve">伊犁州主题巡展启幕</x:t>
  </x:si>
  <x:si>
    <x:t xml:space="preserve">https://www.xjyl.gov.cn/xjylz/c112850/202607/896275b8678947f0a590e2a51ddd53d5.shtml</x:t>
  </x:si>
  <x:si>
    <x:t xml:space="preserve">仅为一般民族团结宣传</x:t>
  </x:si>
  <x:si>
    <x:t xml:space="preserve">未明确与该法实施建立联系</x:t>
  </x:si>
  <x:si>
    <x:t xml:space="preserve">2026-07-27</x:t>
  </x:si>
  <x:si>
    <x:t xml:space="preserve">中国日报</x:t>
  </x:si>
  <x:si>
    <x:t xml:space="preserve">八省区主流媒体共议中华民族共同体故事创新传播</x:t>
  </x:si>
  <x:si>
    <x:t xml:space="preserve">https://cn.chinadaily.com.cn/a/202607/27/WS6a6723aaa310d709c2fbffbd.html</x:t>
  </x:si>
  <x:si>
    <x:t xml:space="preserve">内容重复</x:t>
  </x:si>
  <x:si>
    <x:t xml:space="preserve">与7月1日全媒体活动内容重复</x:t>
  </x:si>
  <x:si>
    <x:t xml:space="preserve">网络用户悠然评论</x:t>
  </x:si>
  <x:si>
    <x:t xml:space="preserve">你好伊犁[棒][棒]</x:t>
  </x:si>
  <x:si>
    <x:t xml:space="preserve">未表达具体观点</x:t>
  </x:si>
  <x:si>
    <x:t xml:space="preserve">仅为泛化互动，不计入有效相关信息</x:t>
  </x:si>
  <x:si>
    <x:t xml:space="preserve">张永江发言（报道叙述）</x:t>
  </x:si>
  <x:si>
    <x:t xml:space="preserve">非直接引语</x:t>
  </x:si>
  <x:si>
    <x:t xml:space="preserve">该表述是报道者对宣讲效果的叙述，非本人直接引语</x:t>
  </x:si>
  <x:si>
    <x:t xml:space="preserve">2026-08-02</x:t>
  </x:si>
  <x:si>
    <x:t xml:space="preserve">小红书</x:t>
  </x:si>
  <x:si>
    <x:t xml:space="preserve">momo评论</x:t>
  </x:si>
  <x:si>
    <x:t xml:space="preserve">用户表达对宗教极端化的批评</x:t>
  </x:si>
  <x:si>
    <x:t xml:space="preserve">2026-07-12</x:t>
  </x:si>
  <x:si>
    <x:t xml:space="preserve">咸鱼弟弟dd评论</x:t>
  </x:si>
  <x:si>
    <x:t xml:space="preserve">用户表达对法律执行的关切</x:t>
  </x:si>
  <x:si>
    <x:t xml:space="preserve">平台或账号</x:t>
  </x:si>
  <x:si>
    <x:t xml:space="preserve">入口类型</x:t>
  </x:si>
  <x:si>
    <x:t xml:space="preserve">无法自动完整获取的原因</x:t>
  </x:si>
  <x:si>
    <x:t xml:space="preserve">建议人工搜索关键词</x:t>
  </x:si>
  <x:si>
    <x:t xml:space="preserve">重点查看位置</x:t>
  </x:si>
  <x:si>
    <x:t xml:space="preserve">当前网页检索情况</x:t>
  </x:si>
  <x:si>
    <x:t xml:space="preserve">人工核验时间</x:t>
  </x:si>
  <x:si>
    <x:t xml:space="preserve">人工核验结果</x:t>
  </x:si>
  <x:si>
    <x:t xml:space="preserve">新疆政府网</x:t>
  </x:si>
  <x:si>
    <x:t xml:space="preserve">微信视频号/公众号</x:t>
  </x:si>
  <x:si>
    <x:t xml:space="preserve">客户端内容、评论和部分历史视频无法由公开搜索完整抓取</x:t>
  </x:si>
  <x:si>
    <x:t xml:space="preserve">民族团结进步促进法；民族团结法；7月1日施行</x:t>
  </x:si>
  <x:si>
    <x:t xml:space="preserve">视频标题、发布时间、字幕/口播、评论区、转发语、认证主体</x:t>
  </x:si>
  <x:si>
    <x:t xml:space="preserve">网页检索已发现专题讲座</x:t>
  </x:si>
  <x:si>
    <x:t xml:space="preserve">2026-08-05</x:t>
  </x:si>
  <x:si>
    <x:t xml:space="preserve">已人工核验，发现2条直接相关文章</x:t>
  </x:si>
  <x:si>
    <x:t xml:space="preserve">新疆发布</x:t>
  </x:si>
  <x:si>
    <x:t xml:space="preserve">视频号页面依赖微信登录，评论不公开索引</x:t>
  </x:si>
  <x:si>
    <x:t xml:space="preserve">民族团结进步促进法；专题讲座；贯彻实施</x:t>
  </x:si>
  <x:si>
    <x:t xml:space="preserve">视频字幕、评论区、直播回放</x:t>
  </x:si>
  <x:si>
    <x:t xml:space="preserve">未取得原始链接</x:t>
  </x:si>
  <x:si>
    <x:t xml:space="preserve">新疆日报</x:t>
  </x:si>
  <x:si>
    <x:t xml:space="preserve">微信生态历史内容和精选留言不完整公开</x:t>
  </x:si>
  <x:si>
    <x:t xml:space="preserve">民族团结进步促进法；五个一；法治根基</x:t>
  </x:si>
  <x:si>
    <x:t xml:space="preserve">精选留言、视频字幕、发布日期</x:t>
  </x:si>
  <x:si>
    <x:t xml:space="preserve">网页端已核验多篇文章</x:t>
  </x:si>
  <x:si>
    <x:t xml:space="preserve">已人工核验，发现1条直接相关文章</x:t>
  </x:si>
  <x:si>
    <x:t xml:space="preserve">石榴云</x:t>
  </x:si>
  <x:si>
    <x:t xml:space="preserve">客户端内容及互动数据受限</x:t>
  </x:si>
  <x:si>
    <x:t xml:space="preserve">民族团结进步促进法；新疆干部大讲堂</x:t>
  </x:si>
  <x:si>
    <x:t xml:space="preserve">评论区、短视频口播、转发观点</x:t>
  </x:si>
  <x:si>
    <x:t xml:space="preserve">网页端可核验新闻稿</x:t>
  </x:si>
  <x:si>
    <x:t xml:space="preserve">伊犁政府网</x:t>
  </x:si>
  <x:si>
    <x:t xml:space="preserve">视频号内容无法稳定被搜索引擎收录</x:t>
  </x:si>
  <x:si>
    <x:t xml:space="preserve">民族团结进步促进法；伊犁；一图读懂</x:t>
  </x:si>
  <x:si>
    <x:t xml:space="preserve">历史视频、评论、原始发布时间</x:t>
  </x:si>
  <x:si>
    <x:t xml:space="preserve">州政府网页已发现图解稿</x:t>
  </x:si>
  <x:si>
    <x:t xml:space="preserve">公众号留言和视频号评论需微信内查看</x:t>
  </x:si>
  <x:si>
    <x:t xml:space="preserve">民族团结进步促进法；专题宣讲会</x:t>
  </x:si>
  <x:si>
    <x:t xml:space="preserve">精选留言、视频字幕、转发语</x:t>
  </x:si>
  <x:si>
    <x:t xml:space="preserve">网页端发现图解稿线索</x:t>
  </x:si>
  <x:si>
    <x:t xml:space="preserve">已人工核验，发现3条直接相关文章</x:t>
  </x:si>
  <x:si>
    <x:t xml:space="preserve">博州政府网</x:t>
  </x:si>
  <x:si>
    <x:t xml:space="preserve">客户端历史内容和评论受限</x:t>
  </x:si>
  <x:si>
    <x:t xml:space="preserve">民族团结进步促进法；博州大讲堂</x:t>
  </x:si>
  <x:si>
    <x:t xml:space="preserve">视频会议片段、评论、互动量</x:t>
  </x:si>
  <x:si>
    <x:t xml:space="preserve">网页未发现更多原始结果</x:t>
  </x:si>
  <x:si>
    <x:t xml:space="preserve">腾讯新闻可见图文，但视频号评论仍不可见</x:t>
  </x:si>
  <x:si>
    <x:t xml:space="preserve">民族团结进步促进法；第二十一期大讲堂</x:t>
  </x:si>
  <x:si>
    <x:t xml:space="preserve">视频、评论区、转发观点</x:t>
  </x:si>
  <x:si>
    <x:t xml:space="preserve">已核验腾讯新闻账号图文及两条实名观点</x:t>
  </x:si>
  <x:si>
    <x:t xml:space="preserve">昌吉日报</x:t>
  </x:si>
  <x:si>
    <x:t xml:space="preserve">公众号和视频号互动不完整公开</x:t>
  </x:si>
  <x:si>
    <x:t xml:space="preserve">民族团结进步促进法；昌吉；法治之力</x:t>
  </x:si>
  <x:si>
    <x:t xml:space="preserve">评论、精选留言、短视频字幕</x:t>
  </x:si>
  <x:si>
    <x:t xml:space="preserve">网页端已核验两篇理论稿</x:t>
  </x:si>
  <x:si>
    <x:t xml:space="preserve">已人工核验，发现0条</x:t>
  </x:si>
  <x:si>
    <x:t xml:space="preserve">i昌吉</x:t>
  </x:si>
  <x:si>
    <x:t xml:space="preserve">视频号需客户端搜索</x:t>
  </x:si>
  <x:si>
    <x:t xml:space="preserve">民族团结进步促进法；巡回宣讲；同心庭州</x:t>
  </x:si>
  <x:si>
    <x:t xml:space="preserve">视频发布时间、字幕、评论区</x:t>
  </x:si>
  <x:si>
    <x:t xml:space="preserve">公开网页未取得稳定链接</x:t>
  </x:si>
  <x:si>
    <x:t xml:space="preserve">微信客户端受限，评论区不可公开核验</x:t>
  </x:si>
  <x:si>
    <x:t xml:space="preserve">民族团结进步促进法；巴州；学习宣传贯彻</x:t>
  </x:si>
  <x:si>
    <x:t xml:space="preserve">视频字幕、评论、转发语</x:t>
  </x:si>
  <x:si>
    <x:t xml:space="preserve">巴州政府网页已核验会议稿</x:t>
  </x:si>
  <x:si>
    <x:t xml:space="preserve">巴州文旅之声</x:t>
  </x:si>
  <x:si>
    <x:t xml:space="preserve">客户端内容受限且搜索引擎覆盖较弱</x:t>
  </x:si>
  <x:si>
    <x:t xml:space="preserve">民族团结进步促进法；团结路上一家人</x:t>
  </x:si>
  <x:si>
    <x:t xml:space="preserve">视频作品、评论、语言版本</x:t>
  </x:si>
  <x:si>
    <x:t xml:space="preserve">确认巴州融媒体参与全媒体活动</x:t>
  </x:si>
  <x:si>
    <x:t xml:space="preserve">克州零距离</x:t>
  </x:si>
  <x:si>
    <x:t xml:space="preserve">视频号与公众号留言需客户端人工检查</x:t>
  </x:si>
  <x:si>
    <x:t xml:space="preserve">民族团结进步促进法；克州；贯彻实施</x:t>
  </x:si>
  <x:si>
    <x:t xml:space="preserve">视频字幕、评论、直播回放</x:t>
  </x:si>
  <x:si>
    <x:t xml:space="preserve">克州政府网页已核验会议稿</x:t>
  </x:si>
  <x:si>
    <x:t xml:space="preserve">克州政务服务</x:t>
  </x:si>
  <x:si>
    <x:t xml:space="preserve">平台登录及历史内容检索受限</x:t>
  </x:si>
  <x:si>
    <x:t xml:space="preserve">民族团结进步促进法；群众诉求；12345</x:t>
  </x:si>
  <x:si>
    <x:t xml:space="preserve">评论、咨询留言、政府回应</x:t>
  </x:si>
  <x:si>
    <x:t xml:space="preserve">未检索到可核验的视频号页面</x:t>
  </x:si>
  <x:si>
    <x:t xml:space="preserve">视频号评论区及少数民族语言内容需客户端人工查看</x:t>
  </x:si>
  <x:si>
    <x:t xml:space="preserve">民族团结进步促进法；维吾尔文；7月1日施行</x:t>
  </x:si>
  <x:si>
    <x:t xml:space="preserve">视频原文、维吾尔文字幕、评论区、互动量</x:t>
  </x:si>
  <x:si>
    <x:t xml:space="preserve">已取得可分享原始视频链接</x:t>
  </x:si>
  <x:si>
    <x:t xml:space="preserve">2026-08-07</x:t>
  </x:si>
  <x:si>
    <x:t xml:space="preserve">发现1条中文＋维吾尔文直接相关视频；人工浏览139条评论：137条支持性/正向互动、1条咨询疑问、1条维吾尔文评论待语言复核</x:t>
  </x:si>
  <x:si>
    <x:t xml:space="preserve">已检查平台/网站</x:t>
  </x:si>
  <x:si>
    <x:t xml:space="preserve">入口</x:t>
  </x:si>
  <x:si>
    <x:t xml:space="preserve">实际使用关键词</x:t>
  </x:si>
  <x:si>
    <x:t xml:space="preserve">检查结果</x:t>
  </x:si>
  <x:si>
    <x:t xml:space="preserve">限制或备注</x:t>
  </x:si>
  <x:si>
    <x:t xml:space="preserve">新疆维吾尔自治区人民政府</x:t>
  </x:si>
  <x:si>
    <x:t xml:space="preserve">https://www.xinjiang.gov.cn/</x:t>
  </x:si>
  <x:si>
    <x:t xml:space="preserve">找到自治区政府常务会议专题讲座等线索</x:t>
  </x:si>
  <x:si>
    <x:t xml:space="preserve">官网部分同题页面搜索索引不稳定，采用政府系统转载页交叉核验</x:t>
  </x:si>
  <x:si>
    <x:t xml:space="preserve">天山网/新疆日报</x:t>
  </x:si>
  <x:si>
    <x:t xml:space="preserve">https://www.ts.cn/；https://xjrb.ts.cn/</x:t>
  </x:si>
  <x:si>
    <x:t xml:space="preserve">法律全称＋新疆＋学习/实施/解读</x:t>
  </x:si>
  <x:si>
    <x:t xml:space="preserve">专项复核确认13篇中文有效独立文章，其中7篇已在原主表，新增6篇。</x:t>
  </x:si>
  <x:si>
    <x:t xml:space="preserve">已去除同版目录误命中、续版重复；以天山网/新疆日报原始链接优先。</x:t>
  </x:si>
  <x:si>
    <x:t xml:space="preserve">https://www.xjyl.gov.cn/</x:t>
  </x:si>
  <x:si>
    <x:t xml:space="preserve">法律全称＋伊犁；一图读懂</x:t>
  </x:si>
  <x:si>
    <x:t xml:space="preserve">找到7月6日图解稿</x:t>
  </x:si>
  <x:si>
    <x:t xml:space="preserve">详情图链接建议微信或官网内再次保存</x:t>
  </x:si>
  <x:si>
    <x:t xml:space="preserve">https://rd.xjyl.gov.cn/</x:t>
  </x:si>
  <x:si>
    <x:t xml:space="preserve">法律全称＋专题宣讲会</x:t>
  </x:si>
  <x:si>
    <x:t xml:space="preserve">找到7月25日专题宣讲会</x:t>
  </x:si>
  <x:si>
    <x:t xml:space="preserve">首页可见，详情链接搜索索引不稳定</x:t>
  </x:si>
  <x:si>
    <x:t xml:space="preserve">博州政府网/博尔塔拉新闻网</x:t>
  </x:si>
  <x:si>
    <x:t xml:space="preserve">https://www.xjboz.gov.cn/；https://www.boznews.cn/</x:t>
  </x:si>
  <x:si>
    <x:t xml:space="preserve">法律全称＋博州；大讲堂</x:t>
  </x:si>
  <x:si>
    <x:t xml:space="preserve">找到7月31日大讲堂，8月1—4日多平台发布</x:t>
  </x:si>
  <x:si>
    <x:t xml:space="preserve">博州发布腾讯新闻稿包含两条实名观点</x:t>
  </x:si>
  <x:si>
    <x:t xml:space="preserve">昌吉州政府网/昌吉日报</x:t>
  </x:si>
  <x:si>
    <x:t xml:space="preserve">https://www.cj.gov.cn/；https://pcepaper.cjxww.cn/</x:t>
  </x:si>
  <x:si>
    <x:t xml:space="preserve">法律全称＋昌吉＋宣传/实施</x:t>
  </x:si>
  <x:si>
    <x:t xml:space="preserve">核验3条有效信息</x:t>
  </x:si>
  <x:si>
    <x:t xml:space="preserve">电子报与统战部门网页可打开</x:t>
  </x:si>
  <x:si>
    <x:t xml:space="preserve">巴州政府网</x:t>
  </x:si>
  <x:si>
    <x:t xml:space="preserve">https://www.xjbz.gov.cn/</x:t>
  </x:si>
  <x:si>
    <x:t xml:space="preserve">法律全称＋巴州＋学习宣传贯彻</x:t>
  </x:si>
  <x:si>
    <x:t xml:space="preserve">核验党委常委会部署；另发现全媒体活动</x:t>
  </x:si>
  <x:si>
    <x:t xml:space="preserve">多点发力原始页尚需人工核验</x:t>
  </x:si>
  <x:si>
    <x:t xml:space="preserve">https://www.xjkz.gov.cn/</x:t>
  </x:si>
  <x:si>
    <x:t xml:space="preserve">法律全称＋克州＋贯彻实施</x:t>
  </x:si>
  <x:si>
    <x:t xml:space="preserve">核验7月31日政府常务会议</x:t>
  </x:si>
  <x:si>
    <x:t xml:space="preserve">6月内容按时间范围排除</x:t>
  </x:si>
  <x:si>
    <x:t xml:space="preserve">微信视频号及公众号</x:t>
  </x:si>
  <x:si>
    <x:t xml:space="preserve">微信客户端</x:t>
  </x:si>
  <x:si>
    <x:t xml:space="preserve">账号名＋法律全称/简称</x:t>
  </x:si>
  <x:si>
    <x:t xml:space="preserve">公开搜索只能取得少量腾讯新闻或网页转载</x:t>
  </x:si>
  <x:si>
    <x:t xml:space="preserve">评论、精选留言、口播字幕和历史视频需人工补查</x:t>
  </x:si>
  <x:si>
    <x:t xml:space="preserve">平台/网站/账号</x:t>
  </x:si>
  <x:si>
    <x:t xml:space="preserve">类型</x:t>
  </x:si>
  <x:si>
    <x:t xml:space="preserve">用途</x:t>
  </x:si>
  <x:si>
    <x:t xml:space="preserve">网站</x:t>
  </x:si>
  <x:si>
    <x:t xml:space="preserve">主动检索</x:t>
  </x:si>
  <x:si>
    <x:t xml:space="preserve">天山网</x:t>
  </x:si>
  <x:si>
    <x:t xml:space="preserve">https://www.ts.cn/</x:t>
  </x:si>
  <x:si>
    <x:t xml:space="preserve">主动检索/原稿核验</x:t>
  </x:si>
  <x:si>
    <x:t xml:space="preserve">https://xjrb.ts.cn/</x:t>
  </x:si>
  <x:si>
    <x:t xml:space="preserve">主动检索/原始页复核</x:t>
  </x:si>
  <x:si>
    <x:t xml:space="preserve">https://www.xjboz.gov.cn/</x:t>
  </x:si>
  <x:si>
    <x:t xml:space="preserve">博尔塔拉新闻网</x:t>
  </x:si>
  <x:si>
    <x:t xml:space="preserve">https://www.boznews.cn/</x:t>
  </x:si>
  <x:si>
    <x:t xml:space="preserve">昌吉州政府网</x:t>
  </x:si>
  <x:si>
    <x:t xml:space="preserve">https://www.cj.gov.cn/</x:t>
  </x:si>
  <x:si>
    <x:t xml:space="preserve">https://pcepaper.cjxww.cn/</x:t>
  </x:si>
  <x:si>
    <x:t xml:space="preserve">转载/交叉核验</x:t>
  </x:si>
  <x:si>
    <x:t xml:space="preserve">https://nynct.xinjiang.gov.cn/</x:t>
  </x:si>
  <x:si>
    <x:t xml:space="preserve">阿拉山口市人民政府网</x:t>
  </x:si>
  <x:si>
    <x:t xml:space="preserve">https://www.alsk.gov.cn/</x:t>
  </x:si>
  <x:si>
    <x:t xml:space="preserve">腾讯新闻</x:t>
  </x:si>
  <x:si>
    <x:t xml:space="preserve">平台</x:t>
  </x:si>
  <x:si>
    <x:t xml:space="preserve">博州发布稿件核验</x:t>
  </x:si>
  <x:si>
    <x:t xml:space="preserve">https://news.qq.com/</x:t>
  </x:si>
  <x:si>
    <x:t xml:space="preserve">昌吉稿件核验</x:t>
  </x:si>
  <x:si>
    <x:t xml:space="preserve">https://www.xjtzb.gov.cn/</x:t>
  </x:si>
  <x:si>
    <x:t xml:space="preserve">央广网</x:t>
  </x:si>
  <x:si>
    <x:t xml:space="preserve">巴州全媒体活动核验</x:t>
  </x:si>
  <x:si>
    <x:t xml:space="preserve">https://www.cnr.cn/</x:t>
  </x:si>
  <x:si>
    <x:t xml:space="preserve">微信公众号/视频号</x:t>
  </x:si>
  <x:si>
    <x:t xml:space="preserve">人工检索</x:t>
  </x:si>
  <x:si>
    <x:t xml:space="preserve">人工检索/留言复核</x:t>
  </x:si>
  <x:si>
    <x:t xml:space="preserve">少数民族语言视频及评论区人工复核</x:t>
  </x:si>
  <x:si>
    <x:t xml:space="preserve">复核事项</x:t>
  </x:si>
  <x:si>
    <x:t xml:space="preserve">复核结果</x:t>
  </x:si>
  <x:si>
    <x:t xml:space="preserve">统计/判断口径</x:t>
  </x:si>
  <x:si>
    <x:t xml:space="preserve">结论</x:t>
  </x:si>
  <x:si>
    <x:t xml:space="preserve">1.监测来源数</x:t>
  </x:si>
  <x:si>
    <x:t xml:space="preserve">2.查看信息数</x:t>
  </x:si>
  <x:si>
    <x:t xml:space="preserve">3a.与民族议题相关内容</x:t>
  </x:si>
  <x:si>
    <x:t xml:space="preserve">3b.与本法及实施明确相关</x:t>
  </x:si>
  <x:si>
    <x:t xml:space="preserve">4.非支持态度复核</x:t>
  </x:si>
  <x:si>
    <x:t xml:space="preserve">5.少数民族语言有效内容</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</x:si>
</x:sst>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2">
    <x:font>
      <x:sz val="11"/>
      <x:color indexed="8"/>
      <x:name val="宋体"/>
    </x:font>
    <x:font>
      <x:b/>
      <x:sz val="11"/>
      <x:name val="Calibri"/>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4">
    <x:fill>
      <x:patternFill patternType="none"/>
    </x:fill>
    <x:fill>
      <x:patternFill patternType="gray125"/>
    </x:fill>
    <x:fill>
      <x:patternFill patternType="solid">
        <x:fgColor indexed="22"/>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2">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left style="thin">
        <x:color auto="1"/>
      </x:left>
      <x:right style="thin">
        <x:color auto="1"/>
      </x:right>
      <x:top style="thin">
        <x:color auto="1"/>
      </x:top>
      <x:bottom style="thin">
        <x:color auto="1"/>
      </x:bottom>
    </x:border>
  </x:borders>
  <x:cellStyleXfs count="49">
    <x:xf numFmtId="0" fontId="2" fillId="0" borderId="0">
      <x:alignment vertical="center"/>
    </x:xf>
    <x:xf numFmtId="43" fontId="2" fillId="0" borderId="0" applyFont="0" applyFill="0" applyBorder="0" applyAlignment="0" applyProtection="0">
      <x:alignment vertical="center"/>
    </x:xf>
    <x:xf numFmtId="44" fontId="2" fillId="0" borderId="0" applyFont="0" applyFill="0" applyBorder="0" applyAlignment="0" applyProtection="0">
      <x:alignment vertical="center"/>
    </x:xf>
    <x:xf numFmtId="9" fontId="2" fillId="0" borderId="0" applyFont="0" applyFill="0" applyBorder="0" applyAlignment="0" applyProtection="0">
      <x:alignment vertical="center"/>
    </x:xf>
    <x:xf numFmtId="41" fontId="2" fillId="0" borderId="0" applyFont="0" applyFill="0" applyBorder="0" applyAlignment="0" applyProtection="0">
      <x:alignment vertical="center"/>
    </x:xf>
    <x:xf numFmtId="42" fontId="2" fillId="0" borderId="0" applyFont="0" applyFill="0" applyBorder="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2" fillId="3" borderId="2" applyNumberFormat="0" applyFont="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3" applyNumberFormat="0" applyFill="0" applyAlignment="0" applyProtection="0">
      <x:alignment vertical="center"/>
    </x:xf>
    <x:xf numFmtId="0" fontId="9" fillId="0" borderId="3" applyNumberFormat="0" applyFill="0" applyAlignment="0" applyProtection="0">
      <x:alignment vertical="center"/>
    </x:xf>
    <x:xf numFmtId="0" fontId="10" fillId="0" borderId="4" applyNumberFormat="0" applyFill="0" applyAlignment="0" applyProtection="0">
      <x:alignment vertical="center"/>
    </x:xf>
    <x:xf numFmtId="0" fontId="10" fillId="0" borderId="0" applyNumberFormat="0" applyFill="0" applyBorder="0" applyAlignment="0" applyProtection="0">
      <x:alignment vertical="center"/>
    </x:xf>
    <x:xf numFmtId="0" fontId="11" fillId="4" borderId="5" applyNumberFormat="0" applyAlignment="0" applyProtection="0">
      <x:alignment vertical="center"/>
    </x:xf>
    <x:xf numFmtId="0" fontId="12" fillId="5" borderId="6" applyNumberFormat="0" applyAlignment="0" applyProtection="0">
      <x:alignment vertical="center"/>
    </x:xf>
    <x:xf numFmtId="0" fontId="13" fillId="5" borderId="5" applyNumberFormat="0" applyAlignment="0" applyProtection="0">
      <x:alignment vertical="center"/>
    </x:xf>
    <x:xf numFmtId="0" fontId="14" fillId="6" borderId="7" applyNumberFormat="0" applyAlignment="0" applyProtection="0">
      <x:alignment vertical="center"/>
    </x:xf>
    <x:xf numFmtId="0" fontId="15" fillId="0" borderId="8" applyNumberFormat="0" applyFill="0" applyAlignment="0" applyProtection="0">
      <x:alignment vertical="center"/>
    </x:xf>
    <x:xf numFmtId="0" fontId="16" fillId="0" borderId="9" applyNumberFormat="0" applyFill="0" applyAlignment="0" applyProtection="0">
      <x:alignment vertical="center"/>
    </x:xf>
    <x:xf numFmtId="0" fontId="17" fillId="7" borderId="0" applyNumberFormat="0" applyBorder="0" applyAlignment="0" applyProtection="0">
      <x:alignment vertical="center"/>
    </x:xf>
    <x:xf numFmtId="0" fontId="18" fillId="8" borderId="0" applyNumberFormat="0" applyBorder="0" applyAlignment="0" applyProtection="0">
      <x:alignment vertical="center"/>
    </x:xf>
    <x:xf numFmtId="0" fontId="19" fillId="9" borderId="0" applyNumberFormat="0" applyBorder="0" applyAlignment="0" applyProtection="0">
      <x:alignment vertical="center"/>
    </x:xf>
    <x:xf numFmtId="0" fontId="20" fillId="10" borderId="0" applyNumberFormat="0" applyBorder="0" applyAlignment="0" applyProtection="0">
      <x:alignment vertical="center"/>
    </x:xf>
    <x:xf numFmtId="0" fontId="21" fillId="11" borderId="0" applyNumberFormat="0" applyBorder="0" applyAlignment="0" applyProtection="0">
      <x:alignment vertical="center"/>
    </x:xf>
    <x:xf numFmtId="0" fontId="21" fillId="12" borderId="0" applyNumberFormat="0" applyBorder="0" applyAlignment="0" applyProtection="0">
      <x:alignment vertical="center"/>
    </x:xf>
    <x:xf numFmtId="0" fontId="20" fillId="13" borderId="0" applyNumberFormat="0" applyBorder="0" applyAlignment="0" applyProtection="0">
      <x:alignment vertical="center"/>
    </x:xf>
    <x:xf numFmtId="0" fontId="20" fillId="14" borderId="0" applyNumberFormat="0" applyBorder="0" applyAlignment="0" applyProtection="0">
      <x:alignment vertical="center"/>
    </x:xf>
    <x:xf numFmtId="0" fontId="21" fillId="15" borderId="0" applyNumberFormat="0" applyBorder="0" applyAlignment="0" applyProtection="0">
      <x:alignment vertical="center"/>
    </x:xf>
    <x:xf numFmtId="0" fontId="21" fillId="16" borderId="0" applyNumberFormat="0" applyBorder="0" applyAlignment="0" applyProtection="0">
      <x:alignment vertical="center"/>
    </x:xf>
    <x:xf numFmtId="0" fontId="20" fillId="17" borderId="0" applyNumberFormat="0" applyBorder="0" applyAlignment="0" applyProtection="0">
      <x:alignment vertical="center"/>
    </x:xf>
    <x:xf numFmtId="0" fontId="20" fillId="18" borderId="0" applyNumberFormat="0" applyBorder="0" applyAlignment="0" applyProtection="0">
      <x:alignment vertical="center"/>
    </x:xf>
    <x:xf numFmtId="0" fontId="21" fillId="19" borderId="0" applyNumberFormat="0" applyBorder="0" applyAlignment="0" applyProtection="0">
      <x:alignment vertical="center"/>
    </x:xf>
    <x:xf numFmtId="0" fontId="21" fillId="20" borderId="0" applyNumberFormat="0" applyBorder="0" applyAlignment="0" applyProtection="0">
      <x:alignment vertical="center"/>
    </x:xf>
    <x:xf numFmtId="0" fontId="20" fillId="21" borderId="0" applyNumberFormat="0" applyBorder="0" applyAlignment="0" applyProtection="0">
      <x:alignment vertical="center"/>
    </x:xf>
    <x:xf numFmtId="0" fontId="20" fillId="22" borderId="0" applyNumberFormat="0" applyBorder="0" applyAlignment="0" applyProtection="0">
      <x:alignment vertical="center"/>
    </x:xf>
    <x:xf numFmtId="0" fontId="21" fillId="23" borderId="0" applyNumberFormat="0" applyBorder="0" applyAlignment="0" applyProtection="0">
      <x:alignment vertical="center"/>
    </x:xf>
    <x:xf numFmtId="0" fontId="21" fillId="24" borderId="0" applyNumberFormat="0" applyBorder="0" applyAlignment="0" applyProtection="0">
      <x:alignment vertical="center"/>
    </x:xf>
    <x:xf numFmtId="0" fontId="20" fillId="25" borderId="0" applyNumberFormat="0" applyBorder="0" applyAlignment="0" applyProtection="0">
      <x:alignment vertical="center"/>
    </x:xf>
    <x:xf numFmtId="0" fontId="20" fillId="26" borderId="0" applyNumberFormat="0" applyBorder="0" applyAlignment="0" applyProtection="0">
      <x:alignment vertical="center"/>
    </x:xf>
    <x:xf numFmtId="0" fontId="21" fillId="27" borderId="0" applyNumberFormat="0" applyBorder="0" applyAlignment="0" applyProtection="0">
      <x:alignment vertical="center"/>
    </x:xf>
    <x:xf numFmtId="0" fontId="21" fillId="28" borderId="0" applyNumberFormat="0" applyBorder="0" applyAlignment="0" applyProtection="0">
      <x:alignment vertical="center"/>
    </x:xf>
    <x:xf numFmtId="0" fontId="20" fillId="29" borderId="0" applyNumberFormat="0" applyBorder="0" applyAlignment="0" applyProtection="0">
      <x:alignment vertical="center"/>
    </x:xf>
    <x:xf numFmtId="0" fontId="20" fillId="30" borderId="0" applyNumberFormat="0" applyBorder="0" applyAlignment="0" applyProtection="0">
      <x:alignment vertical="center"/>
    </x:xf>
    <x:xf numFmtId="0" fontId="21" fillId="31" borderId="0" applyNumberFormat="0" applyBorder="0" applyAlignment="0" applyProtection="0">
      <x:alignment vertical="center"/>
    </x:xf>
    <x:xf numFmtId="0" fontId="21" fillId="32" borderId="0" applyNumberFormat="0" applyBorder="0" applyAlignment="0" applyProtection="0">
      <x:alignment vertical="center"/>
    </x:xf>
    <x:xf numFmtId="0" fontId="20" fillId="33" borderId="0" applyNumberFormat="0" applyBorder="0" applyAlignment="0" applyProtection="0">
      <x:alignment vertical="center"/>
    </x:xf>
  </x:cellStyleXfs>
  <x:cellXfs count="13">
    <x:xf numFmtId="0" fontId="0" fillId="0" borderId="0" xfId="0" applyFont="1">
      <x:alignment vertical="center"/>
    </x:xf>
    <x:xf numFmtId="0" fontId="1" fillId="2" borderId="1" xfId="0" applyFont="1" applyFill="1" applyBorder="1" applyAlignment="1">
      <x:alignment horizontal="center" vertical="center" wrapText="1"/>
    </x:xf>
    <x:xf numFmtId="0" fontId="1" fillId="0" borderId="1" xfId="0" applyFont="1" applyBorder="1" applyAlignment="1">
      <x:alignment vertical="center" wrapText="1"/>
    </x:xf>
    <x:xf numFmtId="0" fontId="0" fillId="0" borderId="1" xfId="0" applyFont="1" applyBorder="1" applyAlignment="1">
      <x:alignment vertical="center" wrapText="1"/>
    </x:xf>
    <x:xf numFmtId="0" fontId="0" fillId="0" borderId="10" xfId="0" applyNumberFormat="1" applyFont="1" applyFill="1" applyBorder="1" applyAlignment="1">
      <x:alignment vertical="center"/>
    </x:xf>
    <x:xf numFmtId="0" fontId="1" fillId="2" borderId="11" xfId="0" applyNumberFormat="1" applyFont="1" applyFill="1" applyBorder="1" applyAlignment="1">
      <x:alignment horizontal="center" vertical="center" wrapText="1"/>
    </x:xf>
    <x:xf numFmtId="0" fontId="1" fillId="0" borderId="11"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10" xfId="0" applyNumberFormat="1" applyFont="1" applyFill="1" applyBorder="1" applyAlignment="1">
      <x:alignmen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eaae9c7f6ded42e6" /><Relationship Type="http://schemas.openxmlformats.org/officeDocument/2006/relationships/theme" Target="/xl/theme/theme1.xml" Id="Rc7094d7d517b42ba" /><Relationship Type="http://schemas.openxmlformats.org/officeDocument/2006/relationships/sharedStrings" Target="/xl/sharedStrings.xml" Id="R718c978c101e488c" /><Relationship Type="http://schemas.openxmlformats.org/officeDocument/2006/relationships/worksheet" Target="/xl/worksheets/sheet1.xml" Id="Rc9965f9980f44e69" /><Relationship Type="http://schemas.openxmlformats.org/officeDocument/2006/relationships/worksheet" Target="/xl/worksheets/sheet2.xml" Id="R479598bad1f74bdf" /><Relationship Type="http://schemas.openxmlformats.org/officeDocument/2006/relationships/worksheet" Target="/xl/worksheets/sheet3.xml" Id="R1da29621b6564c4f" /><Relationship Type="http://schemas.openxmlformats.org/officeDocument/2006/relationships/worksheet" Target="/xl/worksheets/sheet4.xml" Id="Rdabbb7f82c7e42c9" /><Relationship Type="http://schemas.openxmlformats.org/officeDocument/2006/relationships/worksheet" Target="/xl/worksheets/sheet5.xml" Id="R2c0d6c771d994e84" /><Relationship Type="http://schemas.openxmlformats.org/officeDocument/2006/relationships/worksheet" Target="/xl/worksheets/sheet6.xml" Id="R099c27d11ad74f3d" /><Relationship Type="http://schemas.openxmlformats.org/officeDocument/2006/relationships/worksheet" Target="/xl/worksheets/sheet7.xml" Id="R0808f83217a24adb" /><Relationship Type="http://schemas.openxmlformats.org/officeDocument/2006/relationships/worksheet" Target="/xl/worksheets/sheet8.xml" Id="Rd584172dcb164ba1" /><Relationship Type="http://schemas.openxmlformats.org/officeDocument/2006/relationships/worksheet" Target="/xl/worksheets/sheet9.xml" Id="R62fd2bf05119468f" /><Relationship Type="http://schemas.openxmlformats.org/officeDocument/2006/relationships/worksheet" Target="/xl/worksheets/sheet10.xml" Id="R99f8121f3a9a48a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4"/>
  <x:cols>
    <x:col min="1" max="1" width="30" customWidth="1"/>
    <x:col min="2" max="2" width="60" customWidth="1"/>
    <x:col min="3" max="3" width="40" customWidth="1"/>
  </x:cols>
  <x:sheetData>
    <x:row r="1" ht="30" customHeight="1">
      <x:c r="A1" s="8" t="s">
        <x:v>0</x:v>
      </x:c>
      <x:c r="B1" s="8" t="s">
        <x:v>1</x:v>
      </x:c>
      <x:c r="C1" s="8" t="s">
        <x:v>1</x:v>
      </x:c>
    </x:row>
    <x:row r="2" ht="22" customHeight="1">
      <x:c r="A2" s="9" t="s">
        <x:v>2</x:v>
      </x:c>
      <x:c r="B2" s="9" t="s">
        <x:v>1</x:v>
      </x:c>
      <x:c r="C2" s="9" t="s">
        <x:v>1</x:v>
      </x:c>
    </x:row>
    <x:row r="3" ht="22" customHeight="1">
      <x:c r="A3" s="9" t="s">
        <x:v>3</x:v>
      </x:c>
      <x:c r="B3" s="9" t="s">
        <x:v>1</x:v>
      </x:c>
      <x:c r="C3" s="9" t="s">
        <x:v>1</x:v>
      </x:c>
    </x:row>
    <x:row r="4" ht="22" customHeight="1">
      <x:c r="A4" s="9" t="s">
        <x:v>1</x:v>
      </x:c>
      <x:c r="B4" s="9" t="s">
        <x:v>1</x:v>
      </x:c>
      <x:c r="C4" s="9" t="s">
        <x:v>1</x:v>
      </x:c>
    </x:row>
    <x:row r="5" ht="22" customHeight="1">
      <x:c r="A5" s="8" t="s">
        <x:v>4</x:v>
      </x:c>
      <x:c r="B5" s="8" t="s">
        <x:v>5</x:v>
      </x:c>
      <x:c r="C5" s="8" t="s">
        <x:v>6</x:v>
      </x:c>
    </x:row>
    <x:row r="6" ht="22" customHeight="1">
      <x:c r="A6" s="9" t="s">
        <x:v>7</x:v>
      </x:c>
      <x:c r="B6" s="9" t="str">
        <x:v>31项监测来源</x:v>
      </x:c>
      <x:c r="C6" s="9" t="str">
        <x:v>按第八部分监测来源清单计：15个网站、1个平台、14个微信公众号/视频号、1个微信视频号</x:v>
      </x:c>
    </x:row>
    <x:row r="7" ht="22" customHeight="1">
      <x:c r="A7" s="9" t="s">
        <x:v>8</x:v>
      </x:c>
      <x:c r="B7" s="9" t="str">
        <x:v>约735条以上</x:v>
      </x:c>
      <x:c r="C7" s="9" t="str">
        <x:v>沿用学生人工累计口径；现有工作簿未提供足以逐条反推735的完整查看量台账</x:v>
      </x:c>
    </x:row>
    <x:row r="8" ht="22" customHeight="1">
      <x:c r="A8" s="9" t="s">
        <x:v>9</x:v>
      </x:c>
      <x:c r="B8" s="9" t="n">
        <x:v>201</x:v>
      </x:c>
      <x:c r="C8" s="9" t="str">
        <x:v>按内容数统计；包含视频号137条评论汇总展开计数</x:v>
      </x:c>
    </x:row>
    <x:row r="9" ht="22" customHeight="1">
      <x:c r="A9" s="9" t="s">
        <x:v>10</x:v>
      </x:c>
      <x:c r="B9" s="9" t="n">
        <x:v>200</x:v>
      </x:c>
      <x:c r="C9" s="9" t="str">
        <x:v>民族议题相关201条中排除1条B类间接关联条目（高校实践队调研非遗，正文未直接提及本法）</x:v>
      </x:c>
    </x:row>
    <x:row r="10" ht="22" customHeight="1">
      <x:c r="A10" s="9" t="s">
        <x:v>11</x:v>
      </x:c>
      <x:c r="B10" s="9" t="n">
        <x:v>16</x:v>
      </x:c>
      <x:c r="C10" s="9" t="str">
        <x:v>按第二部分“官方实施信息”去重条目统计</x:v>
      </x:c>
    </x:row>
    <x:row r="11" ht="22" customHeight="1">
      <x:c r="A11" s="9" t="s">
        <x:v>12</x:v>
      </x:c>
      <x:c r="B11" s="9" t="n">
        <x:v>7</x:v>
      </x:c>
      <x:c r="C11" s="9" t="str">
        <x:v>沿用原媒体报道/解读去重口径</x:v>
      </x:c>
    </x:row>
    <x:row r="12" ht="22" customHeight="1">
      <x:c r="A12" s="9" t="s">
        <x:v>13</x:v>
      </x:c>
      <x:c r="B12" s="9" t="n">
        <x:f>'第三部分_公众意见汇总'!B2</x:f>
        <x:v>160</x:v>
      </x:c>
      <x:c r="C12" s="9" t="str">
        <x:v>按第三部分公众意见汇总统计</x:v>
      </x:c>
    </x:row>
    <x:row r="13" ht="22" customHeight="1">
      <x:c r="A13" s="9" t="s">
        <x:v>14</x:v>
      </x:c>
      <x:c r="B13" s="9" t="n">
        <x:v>1</x:v>
      </x:c>
      <x:c r="C13" s="9" t="str">
        <x:v>可确认的非支持态度为B站“感觉有点激进，希望司法解释……”1条担忧影响；原始母视频具体URL/截图仍需补证</x:v>
      </x:c>
    </x:row>
    <x:row r="14" ht="22" customHeight="1">
      <x:c r="A14" s="9" t="s">
        <x:v>15</x:v>
      </x:c>
      <x:c r="B14" s="9" t="n">
        <x:v>2</x:v>
      </x:c>
      <x:c r="C14" s="9" t="str">
        <x:v>1条中维双语视频＋1条维吾尔文评论（后者待语言复核）</x:v>
      </x:c>
    </x:row>
  </x:sheetData>
  <x:pageMargins left="0.7" right="0.7" top="0.75" bottom="0.75" header="0.3" footer="0.3"/>
</x:worksheet>
</file>

<file path=xl/worksheets/sheet2.xml><?xml version="1.0" encoding="utf-8"?>
<x:worksheet xmlns:x="http://schemas.openxmlformats.org/spreadsheetml/2006/main">
  <x:sheetFormatPr defaultColWidth="9" defaultRowHeight="14"/>
  <x:cols>
    <x:col min="1" max="1" width="6" customWidth="1"/>
    <x:col min="2" max="2" width="18" customWidth="1"/>
    <x:col min="3" max="3" width="20" customWidth="1"/>
    <x:col min="4" max="4" width="18" customWidth="1"/>
    <x:col min="5" max="5" width="22" customWidth="1"/>
    <x:col min="6" max="6" width="16" customWidth="1"/>
    <x:col min="7" max="7" width="14" customWidth="1"/>
    <x:col min="8" max="8" width="12" customWidth="1"/>
    <x:col min="9" max="9" width="10" customWidth="1"/>
    <x:col min="10" max="10" width="30" customWidth="1"/>
    <x:col min="11" max="11" width="50" customWidth="1"/>
    <x:col min="12" max="12" width="60" customWidth="1"/>
    <x:col min="13" max="14" width="40" customWidth="1"/>
    <x:col min="15" max="15" width="8" customWidth="1"/>
    <x:col min="16" max="16" width="16" customWidth="1"/>
    <x:col min="17" max="17" width="30" customWidth="1"/>
    <x:col min="18" max="20" width="8" customWidth="1"/>
    <x:col min="21" max="21" width="10" customWidth="1"/>
    <x:col min="22" max="22" width="12" customWidth="1"/>
    <x:col min="23" max="23" width="40" customWidth="1"/>
    <x:col min="24" max="24" width="30" customWidth="1"/>
    <x:col min="25" max="25" width="18" customWidth="1"/>
  </x:cols>
  <x:sheetData>
    <x:row r="1" ht="30" customHeight="1">
      <x:c r="A1" s="1" t="s">
        <x:v>16</x:v>
      </x:c>
      <x:c r="B1" s="1" t="s">
        <x:v>17</x:v>
      </x:c>
      <x:c r="C1" s="1" t="s">
        <x:v>18</x:v>
      </x:c>
      <x:c r="D1" s="1" t="s">
        <x:v>19</x:v>
      </x:c>
      <x:c r="E1" s="1" t="s">
        <x:v>20</x:v>
      </x:c>
      <x:c r="F1" s="1" t="s">
        <x:v>21</x:v>
      </x:c>
      <x:c r="G1" s="1" t="s">
        <x:v>22</x:v>
      </x:c>
      <x:c r="H1" s="1" t="s">
        <x:v>23</x:v>
      </x:c>
      <x:c r="I1" s="1" t="s">
        <x:v>24</x:v>
      </x:c>
      <x:c r="J1" s="1" t="s">
        <x:v>25</x:v>
      </x:c>
      <x:c r="K1" s="1" t="s">
        <x:v>26</x:v>
      </x:c>
      <x:c r="L1" s="1" t="s">
        <x:v>27</x:v>
      </x:c>
      <x:c r="M1" s="1" t="s">
        <x:v>28</x:v>
      </x:c>
      <x:c r="N1" s="1" t="s">
        <x:v>29</x:v>
      </x:c>
      <x:c r="O1" s="1" t="s">
        <x:v>30</x:v>
      </x:c>
      <x:c r="P1" s="1" t="s">
        <x:v>31</x:v>
      </x:c>
      <x:c r="Q1" s="1" t="s">
        <x:v>32</x:v>
      </x:c>
      <x:c r="R1" s="1" t="s">
        <x:v>33</x:v>
      </x:c>
      <x:c r="S1" s="1" t="s">
        <x:v>34</x:v>
      </x:c>
      <x:c r="T1" s="1" t="s">
        <x:v>35</x:v>
      </x:c>
      <x:c r="U1" s="1" t="s">
        <x:v>36</x:v>
      </x:c>
      <x:c r="V1" s="1" t="s">
        <x:v>37</x:v>
      </x:c>
      <x:c r="W1" s="1" t="s">
        <x:v>38</x:v>
      </x:c>
      <x:c r="X1" s="1" t="s">
        <x:v>39</x:v>
      </x:c>
      <x:c r="Y1" s="1" t="s">
        <x:v>40</x:v>
      </x:c>
    </x:row>
    <x:row r="2" ht="25" customHeight="1">
      <x:c r="A2" s="3" t="s">
        <x:v>1</x:v>
      </x:c>
      <x:c r="B2" s="3" t="s">
        <x:v>41</x:v>
      </x:c>
      <x:c r="C2" s="3" t="s">
        <x:v>42</x:v>
      </x:c>
      <x:c r="D2" s="3" t="s">
        <x:v>43</x:v>
      </x:c>
      <x:c r="E2" s="3" t="s">
        <x:v>44</x:v>
      </x:c>
      <x:c r="F2" s="3" t="s">
        <x:v>11</x:v>
      </x:c>
      <x:c r="G2" s="3" t="s">
        <x:v>45</x:v>
      </x:c>
      <x:c r="H2" s="3" t="s">
        <x:v>46</x:v>
      </x:c>
      <x:c r="I2" s="3" t="s">
        <x:v>47</x:v>
      </x:c>
      <x:c r="J2" s="3" t="s">
        <x:v>1</x:v>
      </x:c>
      <x:c r="K2" s="3" t="s">
        <x:v>48</x:v>
      </x:c>
      <x:c r="L2" s="3" t="s">
        <x:v>49</x:v>
      </x:c>
      <x:c r="M2" s="3" t="s">
        <x:v>50</x:v>
      </x:c>
      <x:c r="N2" s="3" t="s">
        <x:v>51</x:v>
      </x:c>
      <x:c r="O2" s="3" t="s">
        <x:v>52</x:v>
      </x:c>
      <x:c r="P2" s="3" t="s">
        <x:v>53</x:v>
      </x:c>
      <x:c r="Q2" s="3" t="s">
        <x:v>54</x:v>
      </x:c>
      <x:c r="R2" s="3" t="s">
        <x:v>1</x:v>
      </x:c>
      <x:c r="S2" s="3" t="s">
        <x:v>1</x:v>
      </x:c>
      <x:c r="T2" s="3" t="s">
        <x:v>1</x:v>
      </x:c>
      <x:c r="U2" s="3" t="s">
        <x:v>55</x:v>
      </x:c>
      <x:c r="V2" s="3" t="s">
        <x:v>55</x:v>
      </x:c>
      <x:c r="W2" s="3" t="s">
        <x:v>56</x:v>
      </x:c>
      <x:c r="X2" s="3" t="s">
        <x:v>57</x:v>
      </x:c>
      <x:c r="Y2" s="3" t="s">
        <x:v>55</x:v>
      </x:c>
    </x:row>
    <x:row r="3" ht="25" customHeight="1">
      <x:c r="A3" s="3" t="s">
        <x:v>58</x:v>
      </x:c>
      <x:c r="B3" s="3" t="s">
        <x:v>59</x:v>
      </x:c>
      <x:c r="C3" s="3" t="s">
        <x:v>42</x:v>
      </x:c>
      <x:c r="D3" s="3" t="s">
        <x:v>43</x:v>
      </x:c>
      <x:c r="E3" s="3" t="s">
        <x:v>60</x:v>
      </x:c>
      <x:c r="F3" s="3" t="s">
        <x:v>61</x:v>
      </x:c>
      <x:c r="G3" s="3" t="s">
        <x:v>45</x:v>
      </x:c>
      <x:c r="H3" s="3" t="s">
        <x:v>46</x:v>
      </x:c>
      <x:c r="I3" s="3" t="s">
        <x:v>47</x:v>
      </x:c>
      <x:c r="J3" s="3" t="s">
        <x:v>1</x:v>
      </x:c>
      <x:c r="K3" s="3" t="s">
        <x:v>62</x:v>
      </x:c>
      <x:c r="L3" s="3" t="s">
        <x:v>63</x:v>
      </x:c>
      <x:c r="M3" s="3" t="s">
        <x:v>64</x:v>
      </x:c>
      <x:c r="N3" s="3" t="s">
        <x:v>65</x:v>
      </x:c>
      <x:c r="O3" s="3" t="s">
        <x:v>52</x:v>
      </x:c>
      <x:c r="P3" s="3" t="s">
        <x:v>66</x:v>
      </x:c>
      <x:c r="Q3" s="3" t="s">
        <x:v>67</x:v>
      </x:c>
      <x:c r="R3" s="3" t="s">
        <x:v>1</x:v>
      </x:c>
      <x:c r="S3" s="3" t="s">
        <x:v>1</x:v>
      </x:c>
      <x:c r="T3" s="3" t="s">
        <x:v>1</x:v>
      </x:c>
      <x:c r="U3" s="3" t="s">
        <x:v>55</x:v>
      </x:c>
      <x:c r="V3" s="3" t="s">
        <x:v>55</x:v>
      </x:c>
      <x:c r="W3" s="3" t="s">
        <x:v>68</x:v>
      </x:c>
      <x:c r="X3" s="3" t="s">
        <x:v>1</x:v>
      </x:c>
      <x:c r="Y3" s="3" t="s">
        <x:v>55</x:v>
      </x:c>
    </x:row>
    <x:row r="4" ht="25" customHeight="1">
      <x:c r="A4" s="3" t="s">
        <x:v>69</x:v>
      </x:c>
      <x:c r="B4" s="3" t="s">
        <x:v>59</x:v>
      </x:c>
      <x:c r="C4" s="3" t="s">
        <x:v>42</x:v>
      </x:c>
      <x:c r="D4" s="3" t="s">
        <x:v>43</x:v>
      </x:c>
      <x:c r="E4" s="3" t="s">
        <x:v>60</x:v>
      </x:c>
      <x:c r="F4" s="3" t="s">
        <x:v>61</x:v>
      </x:c>
      <x:c r="G4" s="3" t="s">
        <x:v>45</x:v>
      </x:c>
      <x:c r="H4" s="3" t="s">
        <x:v>46</x:v>
      </x:c>
      <x:c r="I4" s="3" t="s">
        <x:v>47</x:v>
      </x:c>
      <x:c r="J4" s="3" t="s">
        <x:v>1</x:v>
      </x:c>
      <x:c r="K4" s="3" t="s">
        <x:v>70</x:v>
      </x:c>
      <x:c r="L4" s="3" t="s">
        <x:v>71</x:v>
      </x:c>
      <x:c r="M4" s="3" t="s">
        <x:v>72</x:v>
      </x:c>
      <x:c r="N4" s="3" t="s">
        <x:v>73</x:v>
      </x:c>
      <x:c r="O4" s="3" t="s">
        <x:v>52</x:v>
      </x:c>
      <x:c r="P4" s="3" t="s">
        <x:v>66</x:v>
      </x:c>
      <x:c r="Q4" s="3" t="s">
        <x:v>74</x:v>
      </x:c>
      <x:c r="R4" s="3" t="s">
        <x:v>1</x:v>
      </x:c>
      <x:c r="S4" s="3" t="s">
        <x:v>1</x:v>
      </x:c>
      <x:c r="T4" s="3" t="s">
        <x:v>1</x:v>
      </x:c>
      <x:c r="U4" s="3" t="s">
        <x:v>55</x:v>
      </x:c>
      <x:c r="V4" s="3" t="s">
        <x:v>55</x:v>
      </x:c>
      <x:c r="W4" s="3" t="s">
        <x:v>75</x:v>
      </x:c>
      <x:c r="X4" s="3" t="s">
        <x:v>1</x:v>
      </x:c>
      <x:c r="Y4" s="3" t="s">
        <x:v>55</x:v>
      </x:c>
    </x:row>
    <x:row r="5" ht="25" customHeight="1">
      <x:c r="A5" s="3" t="s">
        <x:v>76</x:v>
      </x:c>
      <x:c r="B5" s="3" t="s">
        <x:v>77</x:v>
      </x:c>
      <x:c r="C5" s="3" t="s">
        <x:v>42</x:v>
      </x:c>
      <x:c r="D5" s="3" t="s">
        <x:v>43</x:v>
      </x:c>
      <x:c r="E5" s="3" t="s">
        <x:v>78</x:v>
      </x:c>
      <x:c r="F5" s="3" t="s">
        <x:v>11</x:v>
      </x:c>
      <x:c r="G5" s="3" t="s">
        <x:v>45</x:v>
      </x:c>
      <x:c r="H5" s="3" t="s">
        <x:v>46</x:v>
      </x:c>
      <x:c r="I5" s="3" t="s">
        <x:v>47</x:v>
      </x:c>
      <x:c r="J5" s="3" t="s">
        <x:v>1</x:v>
      </x:c>
      <x:c r="K5" s="3" t="s">
        <x:v>79</x:v>
      </x:c>
      <x:c r="L5" s="3" t="s">
        <x:v>80</x:v>
      </x:c>
      <x:c r="M5" s="3" t="s">
        <x:v>81</x:v>
      </x:c>
      <x:c r="N5" s="3" t="s">
        <x:v>82</x:v>
      </x:c>
      <x:c r="O5" s="3" t="s">
        <x:v>52</x:v>
      </x:c>
      <x:c r="P5" s="3" t="s">
        <x:v>53</x:v>
      </x:c>
      <x:c r="Q5" s="3" t="s">
        <x:v>83</x:v>
      </x:c>
      <x:c r="R5" s="3" t="s">
        <x:v>1</x:v>
      </x:c>
      <x:c r="S5" s="3" t="s">
        <x:v>1</x:v>
      </x:c>
      <x:c r="T5" s="3" t="s">
        <x:v>1</x:v>
      </x:c>
      <x:c r="U5" s="3" t="s">
        <x:v>55</x:v>
      </x:c>
      <x:c r="V5" s="3" t="s">
        <x:v>55</x:v>
      </x:c>
      <x:c r="W5" s="3" t="s">
        <x:v>84</x:v>
      </x:c>
      <x:c r="X5" s="3" t="s">
        <x:v>85</x:v>
      </x:c>
      <x:c r="Y5" s="3" t="s">
        <x:v>55</x:v>
      </x:c>
    </x:row>
    <x:row r="6" ht="25" customHeight="1">
      <x:c r="A6" s="3" t="s">
        <x:v>86</x:v>
      </x:c>
      <x:c r="B6" s="3" t="s">
        <x:v>87</x:v>
      </x:c>
      <x:c r="C6" s="3" t="s">
        <x:v>42</x:v>
      </x:c>
      <x:c r="D6" s="3" t="s">
        <x:v>88</x:v>
      </x:c>
      <x:c r="E6" s="3" t="s">
        <x:v>78</x:v>
      </x:c>
      <x:c r="F6" s="3" t="s">
        <x:v>11</x:v>
      </x:c>
      <x:c r="G6" s="3" t="s">
        <x:v>45</x:v>
      </x:c>
      <x:c r="H6" s="3" t="s">
        <x:v>46</x:v>
      </x:c>
      <x:c r="I6" s="3" t="s">
        <x:v>47</x:v>
      </x:c>
      <x:c r="J6" s="3" t="s">
        <x:v>1</x:v>
      </x:c>
      <x:c r="K6" s="3" t="s">
        <x:v>89</x:v>
      </x:c>
      <x:c r="L6" s="3" t="s">
        <x:v>90</x:v>
      </x:c>
      <x:c r="M6" s="3" t="s">
        <x:v>91</x:v>
      </x:c>
      <x:c r="N6" s="3" t="s">
        <x:v>92</x:v>
      </x:c>
      <x:c r="O6" s="3" t="s">
        <x:v>52</x:v>
      </x:c>
      <x:c r="P6" s="3" t="s">
        <x:v>53</x:v>
      </x:c>
      <x:c r="Q6" s="3" t="s">
        <x:v>93</x:v>
      </x:c>
      <x:c r="R6" s="3" t="s">
        <x:v>1</x:v>
      </x:c>
      <x:c r="S6" s="3" t="s">
        <x:v>1</x:v>
      </x:c>
      <x:c r="T6" s="3" t="s">
        <x:v>1</x:v>
      </x:c>
      <x:c r="U6" s="3" t="s">
        <x:v>55</x:v>
      </x:c>
      <x:c r="V6" s="3" t="s">
        <x:v>55</x:v>
      </x:c>
      <x:c r="W6" s="3" t="s">
        <x:v>94</x:v>
      </x:c>
      <x:c r="X6" s="3" t="s">
        <x:v>95</x:v>
      </x:c>
      <x:c r="Y6" s="3" t="s">
        <x:v>55</x:v>
      </x:c>
    </x:row>
    <x:row r="7" ht="25" customHeight="1">
      <x:c r="A7" s="3" t="s">
        <x:v>96</x:v>
      </x:c>
      <x:c r="B7" s="3" t="s">
        <x:v>97</x:v>
      </x:c>
      <x:c r="C7" s="3" t="s">
        <x:v>42</x:v>
      </x:c>
      <x:c r="D7" s="3" t="s">
        <x:v>88</x:v>
      </x:c>
      <x:c r="E7" s="3" t="s">
        <x:v>98</x:v>
      </x:c>
      <x:c r="F7" s="3" t="s">
        <x:v>11</x:v>
      </x:c>
      <x:c r="G7" s="3" t="s">
        <x:v>45</x:v>
      </x:c>
      <x:c r="H7" s="3" t="s">
        <x:v>46</x:v>
      </x:c>
      <x:c r="I7" s="3" t="s">
        <x:v>47</x:v>
      </x:c>
      <x:c r="J7" s="3" t="s">
        <x:v>1</x:v>
      </x:c>
      <x:c r="K7" s="3" t="s">
        <x:v>99</x:v>
      </x:c>
      <x:c r="L7" s="3" t="s">
        <x:v>100</x:v>
      </x:c>
      <x:c r="M7" s="3" t="s">
        <x:v>101</x:v>
      </x:c>
      <x:c r="N7" s="3" t="s">
        <x:v>102</x:v>
      </x:c>
      <x:c r="O7" s="3" t="s">
        <x:v>52</x:v>
      </x:c>
      <x:c r="P7" s="3" t="s">
        <x:v>53</x:v>
      </x:c>
      <x:c r="Q7" s="3" t="s">
        <x:v>103</x:v>
      </x:c>
      <x:c r="R7" s="3" t="s">
        <x:v>1</x:v>
      </x:c>
      <x:c r="S7" s="3" t="s">
        <x:v>1</x:v>
      </x:c>
      <x:c r="T7" s="3" t="s">
        <x:v>1</x:v>
      </x:c>
      <x:c r="U7" s="3" t="s">
        <x:v>55</x:v>
      </x:c>
      <x:c r="V7" s="3" t="s">
        <x:v>55</x:v>
      </x:c>
      <x:c r="W7" s="3" t="s">
        <x:v>94</x:v>
      </x:c>
      <x:c r="X7" s="3" t="s">
        <x:v>104</x:v>
      </x:c>
      <x:c r="Y7" s="3" t="s">
        <x:v>55</x:v>
      </x:c>
    </x:row>
    <x:row r="8" ht="25" customHeight="1">
      <x:c r="A8" s="3" t="s">
        <x:v>105</x:v>
      </x:c>
      <x:c r="B8" s="3" t="s">
        <x:v>97</x:v>
      </x:c>
      <x:c r="C8" s="3" t="s">
        <x:v>42</x:v>
      </x:c>
      <x:c r="D8" s="3" t="s">
        <x:v>88</x:v>
      </x:c>
      <x:c r="E8" s="3" t="s">
        <x:v>98</x:v>
      </x:c>
      <x:c r="F8" s="3" t="s">
        <x:v>11</x:v>
      </x:c>
      <x:c r="G8" s="3" t="s">
        <x:v>45</x:v>
      </x:c>
      <x:c r="H8" s="3" t="s">
        <x:v>46</x:v>
      </x:c>
      <x:c r="I8" s="3" t="s">
        <x:v>47</x:v>
      </x:c>
      <x:c r="J8" s="3" t="s">
        <x:v>1</x:v>
      </x:c>
      <x:c r="K8" s="3" t="s">
        <x:v>106</x:v>
      </x:c>
      <x:c r="L8" s="3" t="s">
        <x:v>107</x:v>
      </x:c>
      <x:c r="M8" s="3" t="s">
        <x:v>108</x:v>
      </x:c>
      <x:c r="N8" s="3" t="s">
        <x:v>109</x:v>
      </x:c>
      <x:c r="O8" s="3" t="s">
        <x:v>52</x:v>
      </x:c>
      <x:c r="P8" s="3" t="s">
        <x:v>53</x:v>
      </x:c>
      <x:c r="Q8" s="3" t="s">
        <x:v>110</x:v>
      </x:c>
      <x:c r="R8" s="3" t="s">
        <x:v>1</x:v>
      </x:c>
      <x:c r="S8" s="3" t="s">
        <x:v>1</x:v>
      </x:c>
      <x:c r="T8" s="3" t="s">
        <x:v>1</x:v>
      </x:c>
      <x:c r="U8" s="3" t="s">
        <x:v>55</x:v>
      </x:c>
      <x:c r="V8" s="3" t="s">
        <x:v>55</x:v>
      </x:c>
      <x:c r="W8" s="3" t="s">
        <x:v>111</x:v>
      </x:c>
      <x:c r="X8" s="3" t="s">
        <x:v>112</x:v>
      </x:c>
      <x:c r="Y8" s="3" t="s">
        <x:v>55</x:v>
      </x:c>
    </x:row>
    <x:row r="9" ht="25" customHeight="1">
      <x:c r="A9" s="3" t="s">
        <x:v>113</x:v>
      </x:c>
      <x:c r="B9" s="3" t="s">
        <x:v>114</x:v>
      </x:c>
      <x:c r="C9" s="3" t="s">
        <x:v>42</x:v>
      </x:c>
      <x:c r="D9" s="3" t="s">
        <x:v>115</x:v>
      </x:c>
      <x:c r="E9" s="3" t="s">
        <x:v>116</x:v>
      </x:c>
      <x:c r="F9" s="3" t="s">
        <x:v>61</x:v>
      </x:c>
      <x:c r="G9" s="3" t="s">
        <x:v>117</x:v>
      </x:c>
      <x:c r="H9" s="3" t="s">
        <x:v>118</x:v>
      </x:c>
      <x:c r="I9" s="3" t="s">
        <x:v>47</x:v>
      </x:c>
      <x:c r="J9" s="3" t="s">
        <x:v>1</x:v>
      </x:c>
      <x:c r="K9" s="3" t="s">
        <x:v>119</x:v>
      </x:c>
      <x:c r="L9" s="3" t="s">
        <x:v>120</x:v>
      </x:c>
      <x:c r="M9" s="3" t="s">
        <x:v>121</x:v>
      </x:c>
      <x:c r="N9" s="3" t="s">
        <x:v>122</x:v>
      </x:c>
      <x:c r="O9" s="3" t="s">
        <x:v>52</x:v>
      </x:c>
      <x:c r="P9" s="3" t="s">
        <x:v>66</x:v>
      </x:c>
      <x:c r="Q9" s="3" t="s">
        <x:v>123</x:v>
      </x:c>
      <x:c r="R9" s="3" t="s">
        <x:v>1</x:v>
      </x:c>
      <x:c r="S9" s="3" t="s">
        <x:v>1</x:v>
      </x:c>
      <x:c r="T9" s="3" t="s">
        <x:v>1</x:v>
      </x:c>
      <x:c r="U9" s="3" t="s">
        <x:v>55</x:v>
      </x:c>
      <x:c r="V9" s="3" t="s">
        <x:v>55</x:v>
      </x:c>
      <x:c r="W9" s="3" t="s">
        <x:v>124</x:v>
      </x:c>
      <x:c r="X9" s="3" t="s">
        <x:v>125</x:v>
      </x:c>
      <x:c r="Y9" s="3" t="s">
        <x:v>55</x:v>
      </x:c>
    </x:row>
    <x:row r="10" ht="25" customHeight="1">
      <x:c r="A10" s="3" t="s">
        <x:v>126</x:v>
      </x:c>
      <x:c r="B10" s="3" t="s">
        <x:v>127</x:v>
      </x:c>
      <x:c r="C10" s="3" t="s">
        <x:v>42</x:v>
      </x:c>
      <x:c r="D10" s="3" t="s">
        <x:v>128</x:v>
      </x:c>
      <x:c r="E10" s="3" t="s">
        <x:v>129</x:v>
      </x:c>
      <x:c r="F10" s="3" t="s">
        <x:v>11</x:v>
      </x:c>
      <x:c r="G10" s="3" t="s">
        <x:v>117</x:v>
      </x:c>
      <x:c r="H10" s="3" t="s">
        <x:v>118</x:v>
      </x:c>
      <x:c r="I10" s="3" t="s">
        <x:v>47</x:v>
      </x:c>
      <x:c r="J10" s="3" t="s">
        <x:v>1</x:v>
      </x:c>
      <x:c r="K10" s="3" t="s">
        <x:v>130</x:v>
      </x:c>
      <x:c r="L10" s="3" t="s">
        <x:v>131</x:v>
      </x:c>
      <x:c r="M10" s="3" t="s">
        <x:v>132</x:v>
      </x:c>
      <x:c r="N10" s="3" t="s">
        <x:v>133</x:v>
      </x:c>
      <x:c r="O10" s="3" t="s">
        <x:v>52</x:v>
      </x:c>
      <x:c r="P10" s="3" t="s">
        <x:v>53</x:v>
      </x:c>
      <x:c r="Q10" s="3" t="s">
        <x:v>134</x:v>
      </x:c>
      <x:c r="R10" s="3" t="s">
        <x:v>1</x:v>
      </x:c>
      <x:c r="S10" s="3" t="s">
        <x:v>1</x:v>
      </x:c>
      <x:c r="T10" s="3" t="s">
        <x:v>1</x:v>
      </x:c>
      <x:c r="U10" s="3" t="s">
        <x:v>55</x:v>
      </x:c>
      <x:c r="V10" s="3" t="s">
        <x:v>55</x:v>
      </x:c>
      <x:c r="W10" s="3" t="s">
        <x:v>135</x:v>
      </x:c>
      <x:c r="X10" s="3" t="s">
        <x:v>1</x:v>
      </x:c>
      <x:c r="Y10" s="3" t="s">
        <x:v>55</x:v>
      </x:c>
    </x:row>
    <x:row r="11" ht="25" customHeight="1">
      <x:c r="A11" s="3" t="s">
        <x:v>136</x:v>
      </x:c>
      <x:c r="B11" s="3" t="s">
        <x:v>137</x:v>
      </x:c>
      <x:c r="C11" s="3" t="s">
        <x:v>42</x:v>
      </x:c>
      <x:c r="D11" s="3" t="s">
        <x:v>138</x:v>
      </x:c>
      <x:c r="E11" s="3" t="s">
        <x:v>139</x:v>
      </x:c>
      <x:c r="F11" s="3" t="s">
        <x:v>11</x:v>
      </x:c>
      <x:c r="G11" s="3" t="s">
        <x:v>140</x:v>
      </x:c>
      <x:c r="H11" s="3" t="s">
        <x:v>118</x:v>
      </x:c>
      <x:c r="I11" s="3" t="s">
        <x:v>47</x:v>
      </x:c>
      <x:c r="J11" s="3" t="s">
        <x:v>1</x:v>
      </x:c>
      <x:c r="K11" s="3" t="s">
        <x:v>141</x:v>
      </x:c>
      <x:c r="L11" s="3" t="s">
        <x:v>142</x:v>
      </x:c>
      <x:c r="M11" s="3" t="s">
        <x:v>143</x:v>
      </x:c>
      <x:c r="N11" s="3" t="s">
        <x:v>144</x:v>
      </x:c>
      <x:c r="O11" s="3" t="s">
        <x:v>52</x:v>
      </x:c>
      <x:c r="P11" s="3" t="s">
        <x:v>53</x:v>
      </x:c>
      <x:c r="Q11" s="3" t="s">
        <x:v>145</x:v>
      </x:c>
      <x:c r="R11" s="3" t="s">
        <x:v>1</x:v>
      </x:c>
      <x:c r="S11" s="3" t="s">
        <x:v>1</x:v>
      </x:c>
      <x:c r="T11" s="3" t="s">
        <x:v>1</x:v>
      </x:c>
      <x:c r="U11" s="3" t="s">
        <x:v>55</x:v>
      </x:c>
      <x:c r="V11" s="3" t="s">
        <x:v>55</x:v>
      </x:c>
      <x:c r="W11" s="3" t="s">
        <x:v>146</x:v>
      </x:c>
      <x:c r="X11" s="3" t="s">
        <x:v>147</x:v>
      </x:c>
      <x:c r="Y11" s="3" t="s">
        <x:v>55</x:v>
      </x:c>
    </x:row>
    <x:row r="12" ht="25" customHeight="1">
      <x:c r="A12" s="3" t="s">
        <x:v>148</x:v>
      </x:c>
      <x:c r="B12" s="3" t="s">
        <x:v>137</x:v>
      </x:c>
      <x:c r="C12" s="3" t="s">
        <x:v>42</x:v>
      </x:c>
      <x:c r="D12" s="3" t="s">
        <x:v>138</x:v>
      </x:c>
      <x:c r="E12" s="3" t="s">
        <x:v>139</x:v>
      </x:c>
      <x:c r="F12" s="3" t="s">
        <x:v>149</x:v>
      </x:c>
      <x:c r="G12" s="3" t="s">
        <x:v>140</x:v>
      </x:c>
      <x:c r="H12" s="3" t="s">
        <x:v>118</x:v>
      </x:c>
      <x:c r="I12" s="3" t="s">
        <x:v>47</x:v>
      </x:c>
      <x:c r="J12" s="3" t="s">
        <x:v>1</x:v>
      </x:c>
      <x:c r="K12" s="3" t="s">
        <x:v>150</x:v>
      </x:c>
      <x:c r="L12" s="3" t="s">
        <x:v>151</x:v>
      </x:c>
      <x:c r="M12" s="3" t="s">
        <x:v>152</x:v>
      </x:c>
      <x:c r="N12" s="3" t="s">
        <x:v>144</x:v>
      </x:c>
      <x:c r="O12" s="3" t="s">
        <x:v>52</x:v>
      </x:c>
      <x:c r="P12" s="3" t="s">
        <x:v>153</x:v>
      </x:c>
      <x:c r="Q12" s="3" t="s">
        <x:v>154</x:v>
      </x:c>
      <x:c r="R12" s="3" t="s">
        <x:v>1</x:v>
      </x:c>
      <x:c r="S12" s="3" t="s">
        <x:v>1</x:v>
      </x:c>
      <x:c r="T12" s="3" t="s">
        <x:v>1</x:v>
      </x:c>
      <x:c r="U12" s="3" t="s">
        <x:v>55</x:v>
      </x:c>
      <x:c r="V12" s="3" t="s">
        <x:v>55</x:v>
      </x:c>
      <x:c r="W12" s="3" t="s">
        <x:v>155</x:v>
      </x:c>
      <x:c r="X12" s="3" t="s">
        <x:v>1</x:v>
      </x:c>
      <x:c r="Y12" s="3" t="s">
        <x:v>156</x:v>
      </x:c>
    </x:row>
    <x:row r="13" ht="25" customHeight="1">
      <x:c r="A13" s="3" t="s">
        <x:v>157</x:v>
      </x:c>
      <x:c r="B13" s="3" t="s">
        <x:v>137</x:v>
      </x:c>
      <x:c r="C13" s="3" t="s">
        <x:v>42</x:v>
      </x:c>
      <x:c r="D13" s="3" t="s">
        <x:v>138</x:v>
      </x:c>
      <x:c r="E13" s="3" t="s">
        <x:v>139</x:v>
      </x:c>
      <x:c r="F13" s="3" t="s">
        <x:v>149</x:v>
      </x:c>
      <x:c r="G13" s="3" t="s">
        <x:v>140</x:v>
      </x:c>
      <x:c r="H13" s="3" t="s">
        <x:v>118</x:v>
      </x:c>
      <x:c r="I13" s="3" t="s">
        <x:v>47</x:v>
      </x:c>
      <x:c r="J13" s="3" t="s">
        <x:v>1</x:v>
      </x:c>
      <x:c r="K13" s="3" t="s">
        <x:v>158</x:v>
      </x:c>
      <x:c r="L13" s="3" t="s">
        <x:v>159</x:v>
      </x:c>
      <x:c r="M13" s="3" t="s">
        <x:v>160</x:v>
      </x:c>
      <x:c r="N13" s="3" t="s">
        <x:v>144</x:v>
      </x:c>
      <x:c r="O13" s="3" t="s">
        <x:v>52</x:v>
      </x:c>
      <x:c r="P13" s="3" t="s">
        <x:v>153</x:v>
      </x:c>
      <x:c r="Q13" s="3" t="s">
        <x:v>161</x:v>
      </x:c>
      <x:c r="R13" s="3" t="s">
        <x:v>1</x:v>
      </x:c>
      <x:c r="S13" s="3" t="s">
        <x:v>1</x:v>
      </x:c>
      <x:c r="T13" s="3" t="s">
        <x:v>1</x:v>
      </x:c>
      <x:c r="U13" s="3" t="s">
        <x:v>55</x:v>
      </x:c>
      <x:c r="V13" s="3" t="s">
        <x:v>55</x:v>
      </x:c>
      <x:c r="W13" s="3" t="s">
        <x:v>162</x:v>
      </x:c>
      <x:c r="X13" s="3" t="s">
        <x:v>1</x:v>
      </x:c>
      <x:c r="Y13" s="3" t="s">
        <x:v>156</x:v>
      </x:c>
    </x:row>
    <x:row r="14" ht="25" customHeight="1">
      <x:c r="A14" s="3" t="s">
        <x:v>163</x:v>
      </x:c>
      <x:c r="B14" s="3" t="s">
        <x:v>164</x:v>
      </x:c>
      <x:c r="C14" s="3" t="s">
        <x:v>42</x:v>
      </x:c>
      <x:c r="D14" s="3" t="s">
        <x:v>165</x:v>
      </x:c>
      <x:c r="E14" s="3" t="s">
        <x:v>166</x:v>
      </x:c>
      <x:c r="F14" s="3" t="s">
        <x:v>61</x:v>
      </x:c>
      <x:c r="G14" s="3" t="s">
        <x:v>167</x:v>
      </x:c>
      <x:c r="H14" s="3" t="s">
        <x:v>118</x:v>
      </x:c>
      <x:c r="I14" s="3" t="s">
        <x:v>47</x:v>
      </x:c>
      <x:c r="J14" s="3" t="s">
        <x:v>1</x:v>
      </x:c>
      <x:c r="K14" s="3" t="s">
        <x:v>168</x:v>
      </x:c>
      <x:c r="L14" s="3" t="s">
        <x:v>169</x:v>
      </x:c>
      <x:c r="M14" s="3" t="s">
        <x:v>170</x:v>
      </x:c>
      <x:c r="N14" s="3" t="s">
        <x:v>171</x:v>
      </x:c>
      <x:c r="O14" s="3" t="s">
        <x:v>52</x:v>
      </x:c>
      <x:c r="P14" s="3" t="s">
        <x:v>66</x:v>
      </x:c>
      <x:c r="Q14" s="3" t="s">
        <x:v>172</x:v>
      </x:c>
      <x:c r="R14" s="3" t="s">
        <x:v>1</x:v>
      </x:c>
      <x:c r="S14" s="3" t="s">
        <x:v>1</x:v>
      </x:c>
      <x:c r="T14" s="3" t="s">
        <x:v>1</x:v>
      </x:c>
      <x:c r="U14" s="3" t="s">
        <x:v>55</x:v>
      </x:c>
      <x:c r="V14" s="3" t="s">
        <x:v>55</x:v>
      </x:c>
      <x:c r="W14" s="3" t="s">
        <x:v>173</x:v>
      </x:c>
      <x:c r="X14" s="3" t="s">
        <x:v>1</x:v>
      </x:c>
      <x:c r="Y14" s="3" t="s">
        <x:v>55</x:v>
      </x:c>
    </x:row>
    <x:row r="15" ht="25" customHeight="1">
      <x:c r="A15" s="3" t="s">
        <x:v>174</x:v>
      </x:c>
      <x:c r="B15" s="3" t="s">
        <x:v>175</x:v>
      </x:c>
      <x:c r="C15" s="3" t="s">
        <x:v>42</x:v>
      </x:c>
      <x:c r="D15" s="3" t="s">
        <x:v>176</x:v>
      </x:c>
      <x:c r="E15" s="3" t="s">
        <x:v>177</x:v>
      </x:c>
      <x:c r="F15" s="3" t="s">
        <x:v>11</x:v>
      </x:c>
      <x:c r="G15" s="3" t="s">
        <x:v>167</x:v>
      </x:c>
      <x:c r="H15" s="3" t="s">
        <x:v>118</x:v>
      </x:c>
      <x:c r="I15" s="3" t="s">
        <x:v>47</x:v>
      </x:c>
      <x:c r="J15" s="3" t="s">
        <x:v>1</x:v>
      </x:c>
      <x:c r="K15" s="3" t="s">
        <x:v>178</x:v>
      </x:c>
      <x:c r="L15" s="3" t="s">
        <x:v>179</x:v>
      </x:c>
      <x:c r="M15" s="3" t="s">
        <x:v>180</x:v>
      </x:c>
      <x:c r="N15" s="3" t="s">
        <x:v>181</x:v>
      </x:c>
      <x:c r="O15" s="3" t="s">
        <x:v>52</x:v>
      </x:c>
      <x:c r="P15" s="3" t="s">
        <x:v>53</x:v>
      </x:c>
      <x:c r="Q15" s="3" t="s">
        <x:v>182</x:v>
      </x:c>
      <x:c r="R15" s="3" t="s">
        <x:v>1</x:v>
      </x:c>
      <x:c r="S15" s="3" t="s">
        <x:v>1</x:v>
      </x:c>
      <x:c r="T15" s="3" t="s">
        <x:v>1</x:v>
      </x:c>
      <x:c r="U15" s="3" t="s">
        <x:v>55</x:v>
      </x:c>
      <x:c r="V15" s="3" t="s">
        <x:v>55</x:v>
      </x:c>
      <x:c r="W15" s="3" t="s">
        <x:v>183</x:v>
      </x:c>
      <x:c r="X15" s="3" t="s">
        <x:v>184</x:v>
      </x:c>
      <x:c r="Y15" s="3" t="s">
        <x:v>55</x:v>
      </x:c>
    </x:row>
    <x:row r="16" ht="25" customHeight="1">
      <x:c r="A16" s="3" t="s">
        <x:v>185</x:v>
      </x:c>
      <x:c r="B16" s="3" t="s">
        <x:v>186</x:v>
      </x:c>
      <x:c r="C16" s="3" t="s">
        <x:v>42</x:v>
      </x:c>
      <x:c r="D16" s="3" t="s">
        <x:v>165</x:v>
      </x:c>
      <x:c r="E16" s="3" t="s">
        <x:v>166</x:v>
      </x:c>
      <x:c r="F16" s="3" t="s">
        <x:v>61</x:v>
      </x:c>
      <x:c r="G16" s="3" t="s">
        <x:v>167</x:v>
      </x:c>
      <x:c r="H16" s="3" t="s">
        <x:v>118</x:v>
      </x:c>
      <x:c r="I16" s="3" t="s">
        <x:v>47</x:v>
      </x:c>
      <x:c r="J16" s="3" t="s">
        <x:v>1</x:v>
      </x:c>
      <x:c r="K16" s="3" t="s">
        <x:v>187</x:v>
      </x:c>
      <x:c r="L16" s="3" t="s">
        <x:v>188</x:v>
      </x:c>
      <x:c r="M16" s="3" t="s">
        <x:v>189</x:v>
      </x:c>
      <x:c r="N16" s="3" t="s">
        <x:v>190</x:v>
      </x:c>
      <x:c r="O16" s="3" t="s">
        <x:v>52</x:v>
      </x:c>
      <x:c r="P16" s="3" t="s">
        <x:v>66</x:v>
      </x:c>
      <x:c r="Q16" s="3" t="s">
        <x:v>191</x:v>
      </x:c>
      <x:c r="R16" s="3" t="s">
        <x:v>1</x:v>
      </x:c>
      <x:c r="S16" s="3" t="s">
        <x:v>1</x:v>
      </x:c>
      <x:c r="T16" s="3" t="s">
        <x:v>1</x:v>
      </x:c>
      <x:c r="U16" s="3" t="s">
        <x:v>55</x:v>
      </x:c>
      <x:c r="V16" s="3" t="s">
        <x:v>55</x:v>
      </x:c>
      <x:c r="W16" s="3" t="s">
        <x:v>192</x:v>
      </x:c>
      <x:c r="X16" s="3" t="s">
        <x:v>1</x:v>
      </x:c>
      <x:c r="Y16" s="3" t="s">
        <x:v>55</x:v>
      </x:c>
    </x:row>
    <x:row r="17" ht="25" customHeight="1">
      <x:c r="A17" s="3" t="s">
        <x:v>193</x:v>
      </x:c>
      <x:c r="B17" s="3" t="s">
        <x:v>77</x:v>
      </x:c>
      <x:c r="C17" s="3" t="s">
        <x:v>42</x:v>
      </x:c>
      <x:c r="D17" s="3" t="s">
        <x:v>194</x:v>
      </x:c>
      <x:c r="E17" s="3" t="s">
        <x:v>195</x:v>
      </x:c>
      <x:c r="F17" s="3" t="s">
        <x:v>11</x:v>
      </x:c>
      <x:c r="G17" s="3" t="s">
        <x:v>196</x:v>
      </x:c>
      <x:c r="H17" s="3" t="s">
        <x:v>118</x:v>
      </x:c>
      <x:c r="I17" s="3" t="s">
        <x:v>47</x:v>
      </x:c>
      <x:c r="J17" s="3" t="s">
        <x:v>1</x:v>
      </x:c>
      <x:c r="K17" s="3" t="s">
        <x:v>197</x:v>
      </x:c>
      <x:c r="L17" s="3" t="s">
        <x:v>198</x:v>
      </x:c>
      <x:c r="M17" s="3" t="s">
        <x:v>199</x:v>
      </x:c>
      <x:c r="N17" s="3" t="s">
        <x:v>200</x:v>
      </x:c>
      <x:c r="O17" s="3" t="s">
        <x:v>52</x:v>
      </x:c>
      <x:c r="P17" s="3" t="s">
        <x:v>53</x:v>
      </x:c>
      <x:c r="Q17" s="3" t="s">
        <x:v>201</x:v>
      </x:c>
      <x:c r="R17" s="3" t="s">
        <x:v>1</x:v>
      </x:c>
      <x:c r="S17" s="3" t="s">
        <x:v>1</x:v>
      </x:c>
      <x:c r="T17" s="3" t="s">
        <x:v>1</x:v>
      </x:c>
      <x:c r="U17" s="3" t="s">
        <x:v>55</x:v>
      </x:c>
      <x:c r="V17" s="3" t="s">
        <x:v>55</x:v>
      </x:c>
      <x:c r="W17" s="3" t="s">
        <x:v>202</x:v>
      </x:c>
      <x:c r="X17" s="3" t="s">
        <x:v>203</x:v>
      </x:c>
      <x:c r="Y17" s="3" t="s">
        <x:v>55</x:v>
      </x:c>
    </x:row>
    <x:row r="18" ht="25" customHeight="1">
      <x:c r="A18" s="3" t="s">
        <x:v>204</x:v>
      </x:c>
      <x:c r="B18" s="3" t="s">
        <x:v>205</x:v>
      </x:c>
      <x:c r="C18" s="3" t="s">
        <x:v>42</x:v>
      </x:c>
      <x:c r="D18" s="3" t="s">
        <x:v>206</x:v>
      </x:c>
      <x:c r="E18" s="3" t="s">
        <x:v>207</x:v>
      </x:c>
      <x:c r="F18" s="3" t="s">
        <x:v>61</x:v>
      </x:c>
      <x:c r="G18" s="3" t="s">
        <x:v>196</x:v>
      </x:c>
      <x:c r="H18" s="3" t="s">
        <x:v>118</x:v>
      </x:c>
      <x:c r="I18" s="3" t="s">
        <x:v>47</x:v>
      </x:c>
      <x:c r="J18" s="3" t="s">
        <x:v>1</x:v>
      </x:c>
      <x:c r="K18" s="3" t="s">
        <x:v>208</x:v>
      </x:c>
      <x:c r="L18" s="3" t="s">
        <x:v>209</x:v>
      </x:c>
      <x:c r="M18" s="3" t="s">
        <x:v>210</x:v>
      </x:c>
      <x:c r="N18" s="3" t="s">
        <x:v>211</x:v>
      </x:c>
      <x:c r="O18" s="3" t="s">
        <x:v>52</x:v>
      </x:c>
      <x:c r="P18" s="3" t="s">
        <x:v>66</x:v>
      </x:c>
      <x:c r="Q18" s="3" t="s">
        <x:v>212</x:v>
      </x:c>
      <x:c r="R18" s="3" t="s">
        <x:v>1</x:v>
      </x:c>
      <x:c r="S18" s="3" t="s">
        <x:v>1</x:v>
      </x:c>
      <x:c r="T18" s="3" t="s">
        <x:v>1</x:v>
      </x:c>
      <x:c r="U18" s="3" t="s">
        <x:v>55</x:v>
      </x:c>
      <x:c r="V18" s="3" t="s">
        <x:v>55</x:v>
      </x:c>
      <x:c r="W18" s="3" t="s">
        <x:v>213</x:v>
      </x:c>
      <x:c r="X18" s="3" t="s">
        <x:v>214</x:v>
      </x:c>
      <x:c r="Y18" s="3" t="s">
        <x:v>55</x:v>
      </x:c>
    </x:row>
    <x:row r="19" ht="25" customHeight="1">
      <x:c r="A19" s="3" t="s">
        <x:v>215</x:v>
      </x:c>
      <x:c r="B19" s="3" t="s">
        <x:v>97</x:v>
      </x:c>
      <x:c r="C19" s="3" t="s">
        <x:v>42</x:v>
      </x:c>
      <x:c r="D19" s="3" t="s">
        <x:v>216</x:v>
      </x:c>
      <x:c r="E19" s="3" t="s">
        <x:v>217</x:v>
      </x:c>
      <x:c r="F19" s="3" t="s">
        <x:v>11</x:v>
      </x:c>
      <x:c r="G19" s="3" t="s">
        <x:v>218</x:v>
      </x:c>
      <x:c r="H19" s="3" t="s">
        <x:v>118</x:v>
      </x:c>
      <x:c r="I19" s="3" t="s">
        <x:v>47</x:v>
      </x:c>
      <x:c r="J19" s="3" t="s">
        <x:v>1</x:v>
      </x:c>
      <x:c r="K19" s="3" t="s">
        <x:v>219</x:v>
      </x:c>
      <x:c r="L19" s="3" t="s">
        <x:v>220</x:v>
      </x:c>
      <x:c r="M19" s="3" t="s">
        <x:v>221</x:v>
      </x:c>
      <x:c r="N19" s="3" t="s">
        <x:v>222</x:v>
      </x:c>
      <x:c r="O19" s="3" t="s">
        <x:v>52</x:v>
      </x:c>
      <x:c r="P19" s="3" t="s">
        <x:v>53</x:v>
      </x:c>
      <x:c r="Q19" s="3" t="s">
        <x:v>223</x:v>
      </x:c>
      <x:c r="R19" s="3" t="s">
        <x:v>1</x:v>
      </x:c>
      <x:c r="S19" s="3" t="s">
        <x:v>1</x:v>
      </x:c>
      <x:c r="T19" s="3" t="s">
        <x:v>1</x:v>
      </x:c>
      <x:c r="U19" s="3" t="s">
        <x:v>55</x:v>
      </x:c>
      <x:c r="V19" s="3" t="s">
        <x:v>55</x:v>
      </x:c>
      <x:c r="W19" s="3" t="s">
        <x:v>224</x:v>
      </x:c>
      <x:c r="X19" s="3" t="s">
        <x:v>225</x:v>
      </x:c>
      <x:c r="Y19" s="3" t="s">
        <x:v>55</x:v>
      </x:c>
    </x:row>
    <x:row r="20" ht="25" customHeight="1">
      <x:c r="A20" s="3" t="s">
        <x:v>226</x:v>
      </x:c>
      <x:c r="B20" s="3" t="s">
        <x:v>205</x:v>
      </x:c>
      <x:c r="C20" s="3" t="s">
        <x:v>42</x:v>
      </x:c>
      <x:c r="D20" s="3" t="s">
        <x:v>88</x:v>
      </x:c>
      <x:c r="E20" s="3" t="s">
        <x:v>227</x:v>
      </x:c>
      <x:c r="F20" s="3" t="s">
        <x:v>61</x:v>
      </x:c>
      <x:c r="G20" s="3" t="s">
        <x:v>228</x:v>
      </x:c>
      <x:c r="H20" s="3" t="s">
        <x:v>229</x:v>
      </x:c>
      <x:c r="I20" s="3" t="s">
        <x:v>47</x:v>
      </x:c>
      <x:c r="J20" s="3" t="s">
        <x:v>1</x:v>
      </x:c>
      <x:c r="K20" s="3" t="s">
        <x:v>230</x:v>
      </x:c>
      <x:c r="L20" s="3" t="s">
        <x:v>231</x:v>
      </x:c>
      <x:c r="M20" s="3" t="s">
        <x:v>232</x:v>
      </x:c>
      <x:c r="N20" s="3" t="s">
        <x:v>233</x:v>
      </x:c>
      <x:c r="O20" s="3" t="s">
        <x:v>52</x:v>
      </x:c>
      <x:c r="P20" s="3" t="s">
        <x:v>66</x:v>
      </x:c>
      <x:c r="Q20" s="3" t="s">
        <x:v>234</x:v>
      </x:c>
      <x:c r="R20" s="3" t="s">
        <x:v>1</x:v>
      </x:c>
      <x:c r="S20" s="3" t="s">
        <x:v>1</x:v>
      </x:c>
      <x:c r="T20" s="3" t="s">
        <x:v>1</x:v>
      </x:c>
      <x:c r="U20" s="3" t="s">
        <x:v>55</x:v>
      </x:c>
      <x:c r="V20" s="3" t="s">
        <x:v>55</x:v>
      </x:c>
      <x:c r="W20" s="3" t="s">
        <x:v>235</x:v>
      </x:c>
      <x:c r="X20" s="3" t="s">
        <x:v>1</x:v>
      </x:c>
      <x:c r="Y20" s="3" t="s">
        <x:v>55</x:v>
      </x:c>
    </x:row>
    <x:row r="21" ht="25" customHeight="1">
      <x:c r="A21" s="3" t="s">
        <x:v>236</x:v>
      </x:c>
      <x:c r="B21" s="3" t="s">
        <x:v>237</x:v>
      </x:c>
      <x:c r="C21" s="3" t="s">
        <x:v>42</x:v>
      </x:c>
      <x:c r="D21" s="3" t="s">
        <x:v>88</x:v>
      </x:c>
      <x:c r="E21" s="3" t="s">
        <x:v>78</x:v>
      </x:c>
      <x:c r="F21" s="3" t="s">
        <x:v>11</x:v>
      </x:c>
      <x:c r="G21" s="3" t="s">
        <x:v>238</x:v>
      </x:c>
      <x:c r="H21" s="3" t="s">
        <x:v>239</x:v>
      </x:c>
      <x:c r="I21" s="3" t="s">
        <x:v>47</x:v>
      </x:c>
      <x:c r="J21" s="3" t="s">
        <x:v>1</x:v>
      </x:c>
      <x:c r="K21" s="3" t="s">
        <x:v>240</x:v>
      </x:c>
      <x:c r="L21" s="3" t="s">
        <x:v>241</x:v>
      </x:c>
      <x:c r="M21" s="3" t="s">
        <x:v>242</x:v>
      </x:c>
      <x:c r="N21" s="3" t="s">
        <x:v>243</x:v>
      </x:c>
      <x:c r="O21" s="3" t="s">
        <x:v>52</x:v>
      </x:c>
      <x:c r="P21" s="3" t="s">
        <x:v>53</x:v>
      </x:c>
      <x:c r="Q21" s="3" t="s">
        <x:v>244</x:v>
      </x:c>
      <x:c r="R21" s="3" t="s">
        <x:v>1</x:v>
      </x:c>
      <x:c r="S21" s="3" t="s">
        <x:v>1</x:v>
      </x:c>
      <x:c r="T21" s="3" t="s">
        <x:v>1</x:v>
      </x:c>
      <x:c r="U21" s="3" t="s">
        <x:v>55</x:v>
      </x:c>
      <x:c r="V21" s="3" t="s">
        <x:v>55</x:v>
      </x:c>
      <x:c r="W21" s="3" t="s">
        <x:v>245</x:v>
      </x:c>
      <x:c r="X21" s="3" t="s">
        <x:v>1</x:v>
      </x:c>
      <x:c r="Y21" s="3" t="s">
        <x:v>55</x:v>
      </x:c>
    </x:row>
    <x:row r="22" ht="25" customHeight="1">
      <x:c r="A22" s="3" t="s">
        <x:v>246</x:v>
      </x:c>
      <x:c r="B22" s="3" t="s">
        <x:v>247</x:v>
      </x:c>
      <x:c r="C22" s="3" t="s">
        <x:v>42</x:v>
      </x:c>
      <x:c r="D22" s="3" t="s">
        <x:v>88</x:v>
      </x:c>
      <x:c r="E22" s="3" t="s">
        <x:v>44</x:v>
      </x:c>
      <x:c r="F22" s="3" t="s">
        <x:v>11</x:v>
      </x:c>
      <x:c r="G22" s="3" t="s">
        <x:v>45</x:v>
      </x:c>
      <x:c r="H22" s="3" t="s">
        <x:v>46</x:v>
      </x:c>
      <x:c r="I22" s="3" t="s">
        <x:v>47</x:v>
      </x:c>
      <x:c r="J22" s="3" t="s">
        <x:v>1</x:v>
      </x:c>
      <x:c r="K22" s="3" t="s">
        <x:v>248</x:v>
      </x:c>
      <x:c r="L22" s="3" t="s">
        <x:v>249</x:v>
      </x:c>
      <x:c r="M22" s="3" t="s">
        <x:v>250</x:v>
      </x:c>
      <x:c r="N22" s="3" t="s">
        <x:v>251</x:v>
      </x:c>
      <x:c r="O22" s="3" t="s">
        <x:v>52</x:v>
      </x:c>
      <x:c r="P22" s="3" t="s">
        <x:v>53</x:v>
      </x:c>
      <x:c r="Q22" s="3" t="s">
        <x:v>252</x:v>
      </x:c>
      <x:c r="R22" s="3" t="s">
        <x:v>1</x:v>
      </x:c>
      <x:c r="S22" s="3" t="s">
        <x:v>1</x:v>
      </x:c>
      <x:c r="T22" s="3" t="s">
        <x:v>1</x:v>
      </x:c>
      <x:c r="U22" s="3" t="s">
        <x:v>55</x:v>
      </x:c>
      <x:c r="V22" s="3" t="s">
        <x:v>55</x:v>
      </x:c>
      <x:c r="W22" s="3" t="s">
        <x:v>253</x:v>
      </x:c>
      <x:c r="X22" s="3" t="s">
        <x:v>1</x:v>
      </x:c>
      <x:c r="Y22" s="3" t="s">
        <x:v>55</x:v>
      </x:c>
    </x:row>
    <x:row r="23" ht="25" customHeight="1">
      <x:c r="A23" s="3" t="s">
        <x:v>254</x:v>
      </x:c>
      <x:c r="B23" s="3" t="s">
        <x:v>255</x:v>
      </x:c>
      <x:c r="C23" s="3" t="s">
        <x:v>42</x:v>
      </x:c>
      <x:c r="D23" s="3" t="s">
        <x:v>88</x:v>
      </x:c>
      <x:c r="E23" s="3" t="s">
        <x:v>78</x:v>
      </x:c>
      <x:c r="F23" s="3" t="s">
        <x:v>11</x:v>
      </x:c>
      <x:c r="G23" s="3" t="s">
        <x:v>256</x:v>
      </x:c>
      <x:c r="H23" s="3" t="s">
        <x:v>257</x:v>
      </x:c>
      <x:c r="I23" s="3" t="s">
        <x:v>47</x:v>
      </x:c>
      <x:c r="J23" s="3" t="s">
        <x:v>1</x:v>
      </x:c>
      <x:c r="K23" s="3" t="s">
        <x:v>258</x:v>
      </x:c>
      <x:c r="L23" s="3" t="s">
        <x:v>259</x:v>
      </x:c>
      <x:c r="M23" s="3" t="s">
        <x:v>260</x:v>
      </x:c>
      <x:c r="N23" s="3" t="s">
        <x:v>261</x:v>
      </x:c>
      <x:c r="O23" s="3" t="s">
        <x:v>52</x:v>
      </x:c>
      <x:c r="P23" s="3" t="s">
        <x:v>53</x:v>
      </x:c>
      <x:c r="Q23" s="3" t="s">
        <x:v>262</x:v>
      </x:c>
      <x:c r="R23" s="3" t="s">
        <x:v>1</x:v>
      </x:c>
      <x:c r="S23" s="3" t="s">
        <x:v>1</x:v>
      </x:c>
      <x:c r="T23" s="3" t="s">
        <x:v>1</x:v>
      </x:c>
      <x:c r="U23" s="3" t="s">
        <x:v>55</x:v>
      </x:c>
      <x:c r="V23" s="3" t="s">
        <x:v>55</x:v>
      </x:c>
      <x:c r="W23" s="3" t="s">
        <x:v>263</x:v>
      </x:c>
      <x:c r="X23" s="3" t="s">
        <x:v>1</x:v>
      </x:c>
      <x:c r="Y23" s="3" t="s">
        <x:v>55</x:v>
      </x:c>
    </x:row>
    <x:row r="24" ht="25" customHeight="1">
      <x:c r="A24" s="3" t="s">
        <x:v>264</x:v>
      </x:c>
      <x:c r="B24" s="3" t="s">
        <x:v>265</x:v>
      </x:c>
      <x:c r="C24" s="3" t="s">
        <x:v>42</x:v>
      </x:c>
      <x:c r="D24" s="3" t="s">
        <x:v>88</x:v>
      </x:c>
      <x:c r="E24" s="3" t="s">
        <x:v>98</x:v>
      </x:c>
      <x:c r="F24" s="3" t="s">
        <x:v>11</x:v>
      </x:c>
      <x:c r="G24" s="3" t="s">
        <x:v>45</x:v>
      </x:c>
      <x:c r="H24" s="3" t="s">
        <x:v>46</x:v>
      </x:c>
      <x:c r="I24" s="3" t="s">
        <x:v>47</x:v>
      </x:c>
      <x:c r="J24" s="3" t="s">
        <x:v>1</x:v>
      </x:c>
      <x:c r="K24" s="3" t="s">
        <x:v>266</x:v>
      </x:c>
      <x:c r="L24" s="3" t="s">
        <x:v>267</x:v>
      </x:c>
      <x:c r="M24" s="3" t="s">
        <x:v>268</x:v>
      </x:c>
      <x:c r="N24" s="3" t="s">
        <x:v>269</x:v>
      </x:c>
      <x:c r="O24" s="3" t="s">
        <x:v>52</x:v>
      </x:c>
      <x:c r="P24" s="3" t="s">
        <x:v>53</x:v>
      </x:c>
      <x:c r="Q24" s="3" t="s">
        <x:v>270</x:v>
      </x:c>
      <x:c r="R24" s="3" t="s">
        <x:v>1</x:v>
      </x:c>
      <x:c r="S24" s="3" t="s">
        <x:v>1</x:v>
      </x:c>
      <x:c r="T24" s="3" t="s">
        <x:v>1</x:v>
      </x:c>
      <x:c r="U24" s="3" t="s">
        <x:v>55</x:v>
      </x:c>
      <x:c r="V24" s="3" t="s">
        <x:v>55</x:v>
      </x:c>
      <x:c r="W24" s="3" t="s">
        <x:v>271</x:v>
      </x:c>
      <x:c r="X24" s="3" t="s">
        <x:v>1</x:v>
      </x:c>
      <x:c r="Y24" s="3" t="s">
        <x:v>55</x:v>
      </x:c>
    </x:row>
    <x:row r="25" ht="25" customHeight="1">
      <x:c r="A25" s="3" t="s">
        <x:v>272</x:v>
      </x:c>
      <x:c r="B25" s="3" t="s">
        <x:v>265</x:v>
      </x:c>
      <x:c r="C25" s="3" t="s">
        <x:v>42</x:v>
      </x:c>
      <x:c r="D25" s="3" t="s">
        <x:v>88</x:v>
      </x:c>
      <x:c r="E25" s="3" t="s">
        <x:v>78</x:v>
      </x:c>
      <x:c r="F25" s="3" t="s">
        <x:v>11</x:v>
      </x:c>
      <x:c r="G25" s="3" t="s">
        <x:v>273</x:v>
      </x:c>
      <x:c r="H25" s="3" t="s">
        <x:v>274</x:v>
      </x:c>
      <x:c r="I25" s="3" t="s">
        <x:v>47</x:v>
      </x:c>
      <x:c r="J25" s="3" t="s">
        <x:v>1</x:v>
      </x:c>
      <x:c r="K25" s="3" t="s">
        <x:v>275</x:v>
      </x:c>
      <x:c r="L25" s="3" t="s">
        <x:v>276</x:v>
      </x:c>
      <x:c r="M25" s="3" t="s">
        <x:v>277</x:v>
      </x:c>
      <x:c r="N25" s="3" t="s">
        <x:v>278</x:v>
      </x:c>
      <x:c r="O25" s="3" t="s">
        <x:v>52</x:v>
      </x:c>
      <x:c r="P25" s="3" t="s">
        <x:v>53</x:v>
      </x:c>
      <x:c r="Q25" s="3" t="s">
        <x:v>279</x:v>
      </x:c>
      <x:c r="R25" s="3" t="s">
        <x:v>1</x:v>
      </x:c>
      <x:c r="S25" s="3" t="s">
        <x:v>1</x:v>
      </x:c>
      <x:c r="T25" s="3" t="s">
        <x:v>1</x:v>
      </x:c>
      <x:c r="U25" s="3" t="s">
        <x:v>55</x:v>
      </x:c>
      <x:c r="V25" s="3" t="s">
        <x:v>55</x:v>
      </x:c>
      <x:c r="W25" s="3" t="s">
        <x:v>280</x:v>
      </x:c>
      <x:c r="X25" s="3" t="s">
        <x:v>1</x:v>
      </x:c>
      <x:c r="Y25" s="3" t="s">
        <x:v>55</x:v>
      </x:c>
    </x:row>
    <x:row r="26" ht="25" customHeight="1">
      <x:c r="A26" s="3" t="s">
        <x:v>281</x:v>
      </x:c>
      <x:c r="B26" s="3" t="s">
        <x:v>205</x:v>
      </x:c>
      <x:c r="C26" s="3" t="s">
        <x:v>282</x:v>
      </x:c>
      <x:c r="D26" s="3" t="s">
        <x:v>283</x:v>
      </x:c>
      <x:c r="E26" s="3" t="s">
        <x:v>125</x:v>
      </x:c>
      <x:c r="F26" s="3" t="s">
        <x:v>284</x:v>
      </x:c>
      <x:c r="G26" s="3" t="s">
        <x:v>117</x:v>
      </x:c>
      <x:c r="H26" s="3" t="s">
        <x:v>118</x:v>
      </x:c>
      <x:c r="I26" s="3" t="s">
        <x:v>47</x:v>
      </x:c>
      <x:c r="J26" s="3" t="s">
        <x:v>1</x:v>
      </x:c>
      <x:c r="K26" s="3" t="s">
        <x:v>285</x:v>
      </x:c>
      <x:c r="L26" s="3" t="s">
        <x:v>286</x:v>
      </x:c>
      <x:c r="M26" s="3" t="s">
        <x:v>287</x:v>
      </x:c>
      <x:c r="N26" s="3" t="s">
        <x:v>288</x:v>
      </x:c>
      <x:c r="O26" s="3" t="s">
        <x:v>52</x:v>
      </x:c>
      <x:c r="P26" s="3" t="s">
        <x:v>153</x:v>
      </x:c>
      <x:c r="Q26" s="3" t="s">
        <x:v>289</x:v>
      </x:c>
      <x:c r="R26" s="3" t="s">
        <x:v>1</x:v>
      </x:c>
      <x:c r="S26" s="3" t="s">
        <x:v>1</x:v>
      </x:c>
      <x:c r="T26" s="3" t="s">
        <x:v>1</x:v>
      </x:c>
      <x:c r="U26" s="3" t="s">
        <x:v>55</x:v>
      </x:c>
      <x:c r="V26" s="3" t="s">
        <x:v>156</x:v>
      </x:c>
      <x:c r="W26" s="3" t="s">
        <x:v>290</x:v>
      </x:c>
      <x:c r="X26" s="3" t="s">
        <x:v>291</x:v>
      </x:c>
      <x:c r="Y26" s="3" t="s">
        <x:v>156</x:v>
      </x:c>
    </x:row>
    <x:row r="27" ht="25" customHeight="1">
      <x:c r="A27" s="3" t="s">
        <x:v>292</x:v>
      </x:c>
      <x:c r="B27" s="3" t="s">
        <x:v>205</x:v>
      </x:c>
      <x:c r="C27" s="3" t="s">
        <x:v>282</x:v>
      </x:c>
      <x:c r="D27" s="3" t="s">
        <x:v>283</x:v>
      </x:c>
      <x:c r="E27" s="3" t="s">
        <x:v>125</x:v>
      </x:c>
      <x:c r="F27" s="3" t="s">
        <x:v>293</x:v>
      </x:c>
      <x:c r="G27" s="3" t="s">
        <x:v>117</x:v>
      </x:c>
      <x:c r="H27" s="3" t="s">
        <x:v>118</x:v>
      </x:c>
      <x:c r="I27" s="3" t="s">
        <x:v>47</x:v>
      </x:c>
      <x:c r="J27" s="3" t="s">
        <x:v>1</x:v>
      </x:c>
      <x:c r="K27" s="3" t="s">
        <x:v>294</x:v>
      </x:c>
      <x:c r="L27" s="3" t="s">
        <x:v>295</x:v>
      </x:c>
      <x:c r="M27" s="3" t="s">
        <x:v>296</x:v>
      </x:c>
      <x:c r="N27" s="3" t="s">
        <x:v>288</x:v>
      </x:c>
      <x:c r="O27" s="3" t="s">
        <x:v>52</x:v>
      </x:c>
      <x:c r="P27" s="3" t="s">
        <x:v>153</x:v>
      </x:c>
      <x:c r="Q27" s="3" t="s">
        <x:v>297</x:v>
      </x:c>
      <x:c r="R27" s="3" t="s">
        <x:v>1</x:v>
      </x:c>
      <x:c r="S27" s="3" t="s">
        <x:v>1</x:v>
      </x:c>
      <x:c r="T27" s="3" t="s">
        <x:v>1</x:v>
      </x:c>
      <x:c r="U27" s="3" t="s">
        <x:v>55</x:v>
      </x:c>
      <x:c r="V27" s="3" t="s">
        <x:v>156</x:v>
      </x:c>
      <x:c r="W27" s="3" t="s">
        <x:v>298</x:v>
      </x:c>
      <x:c r="X27" s="3" t="s">
        <x:v>299</x:v>
      </x:c>
      <x:c r="Y27" s="3" t="s">
        <x:v>156</x:v>
      </x:c>
    </x:row>
    <x:row r="28" ht="25" customHeight="1">
      <x:c r="A28" s="3" t="s">
        <x:v>300</x:v>
      </x:c>
      <x:c r="B28" s="3" t="s">
        <x:v>205</x:v>
      </x:c>
      <x:c r="C28" s="3" t="s">
        <x:v>282</x:v>
      </x:c>
      <x:c r="D28" s="3" t="s">
        <x:v>283</x:v>
      </x:c>
      <x:c r="E28" s="3" t="s">
        <x:v>125</x:v>
      </x:c>
      <x:c r="F28" s="3" t="s">
        <x:v>301</x:v>
      </x:c>
      <x:c r="G28" s="3" t="s">
        <x:v>117</x:v>
      </x:c>
      <x:c r="H28" s="3" t="s">
        <x:v>118</x:v>
      </x:c>
      <x:c r="I28" s="3" t="s">
        <x:v>47</x:v>
      </x:c>
      <x:c r="J28" s="3" t="s">
        <x:v>1</x:v>
      </x:c>
      <x:c r="K28" s="3" t="s">
        <x:v>302</x:v>
      </x:c>
      <x:c r="L28" s="3" t="s">
        <x:v>303</x:v>
      </x:c>
      <x:c r="M28" s="3" t="s">
        <x:v>304</x:v>
      </x:c>
      <x:c r="N28" s="3" t="s">
        <x:v>288</x:v>
      </x:c>
      <x:c r="O28" s="3" t="s">
        <x:v>52</x:v>
      </x:c>
      <x:c r="P28" s="3" t="s">
        <x:v>153</x:v>
      </x:c>
      <x:c r="Q28" s="3" t="s">
        <x:v>305</x:v>
      </x:c>
      <x:c r="R28" s="3" t="s">
        <x:v>1</x:v>
      </x:c>
      <x:c r="S28" s="3" t="s">
        <x:v>1</x:v>
      </x:c>
      <x:c r="T28" s="3" t="s">
        <x:v>1</x:v>
      </x:c>
      <x:c r="U28" s="3" t="s">
        <x:v>55</x:v>
      </x:c>
      <x:c r="V28" s="3" t="s">
        <x:v>156</x:v>
      </x:c>
      <x:c r="W28" s="3" t="s">
        <x:v>298</x:v>
      </x:c>
      <x:c r="X28" s="3" t="s">
        <x:v>299</x:v>
      </x:c>
      <x:c r="Y28" s="3" t="s">
        <x:v>156</x:v>
      </x:c>
    </x:row>
    <x:row r="29" ht="25" customHeight="1">
      <x:c r="A29" s="3" t="s">
        <x:v>306</x:v>
      </x:c>
      <x:c r="B29" s="3" t="s">
        <x:v>127</x:v>
      </x:c>
      <x:c r="C29" s="3" t="s">
        <x:v>307</x:v>
      </x:c>
      <x:c r="D29" s="3" t="s">
        <x:v>128</x:v>
      </x:c>
      <x:c r="E29" s="3" t="s">
        <x:v>129</x:v>
      </x:c>
      <x:c r="F29" s="3" t="s">
        <x:v>308</x:v>
      </x:c>
      <x:c r="G29" s="3" t="s">
        <x:v>117</x:v>
      </x:c>
      <x:c r="H29" s="3" t="s">
        <x:v>118</x:v>
      </x:c>
      <x:c r="I29" s="3" t="s">
        <x:v>47</x:v>
      </x:c>
      <x:c r="J29" s="3" t="s">
        <x:v>1</x:v>
      </x:c>
      <x:c r="K29" s="3" t="s">
        <x:v>309</x:v>
      </x:c>
      <x:c r="L29" s="3" t="s">
        <x:v>310</x:v>
      </x:c>
      <x:c r="M29" s="3" t="s">
        <x:v>311</x:v>
      </x:c>
      <x:c r="N29" s="3" t="s">
        <x:v>133</x:v>
      </x:c>
      <x:c r="O29" s="3" t="s">
        <x:v>52</x:v>
      </x:c>
      <x:c r="P29" s="3" t="s">
        <x:v>153</x:v>
      </x:c>
      <x:c r="Q29" s="3" t="s">
        <x:v>312</x:v>
      </x:c>
      <x:c r="R29" s="3" t="s">
        <x:v>1</x:v>
      </x:c>
      <x:c r="S29" s="3" t="s">
        <x:v>1</x:v>
      </x:c>
      <x:c r="T29" s="3" t="s">
        <x:v>1</x:v>
      </x:c>
      <x:c r="U29" s="3" t="s">
        <x:v>55</x:v>
      </x:c>
      <x:c r="V29" s="3" t="s">
        <x:v>55</x:v>
      </x:c>
      <x:c r="W29" s="3" t="s">
        <x:v>313</x:v>
      </x:c>
      <x:c r="X29" s="3" t="s">
        <x:v>314</x:v>
      </x:c>
      <x:c r="Y29" s="3" t="s">
        <x:v>156</x:v>
      </x:c>
    </x:row>
    <x:row r="30" ht="25" customHeight="1">
      <x:c r="A30" s="3" t="s">
        <x:v>315</x:v>
      </x:c>
      <x:c r="B30" s="3" t="s">
        <x:v>114</x:v>
      </x:c>
      <x:c r="C30" s="3" t="s">
        <x:v>316</x:v>
      </x:c>
      <x:c r="D30" s="3" t="s">
        <x:v>317</x:v>
      </x:c>
      <x:c r="E30" s="3" t="s">
        <x:v>318</x:v>
      </x:c>
      <x:c r="F30" s="3" t="s">
        <x:v>11</x:v>
      </x:c>
      <x:c r="G30" s="3" t="s">
        <x:v>45</x:v>
      </x:c>
      <x:c r="H30" s="3" t="s">
        <x:v>46</x:v>
      </x:c>
      <x:c r="I30" s="3" t="s">
        <x:v>319</x:v>
      </x:c>
      <x:c r="J30" s="3" t="s">
        <x:v>320</x:v>
      </x:c>
      <x:c r="K30" s="3" t="s">
        <x:v>321</x:v>
      </x:c>
      <x:c r="L30" s="3" t="s">
        <x:v>322</x:v>
      </x:c>
      <x:c r="M30" s="3" t="s">
        <x:v>323</x:v>
      </x:c>
      <x:c r="N30" s="3" t="s">
        <x:v>324</x:v>
      </x:c>
      <x:c r="O30" s="3" t="s">
        <x:v>52</x:v>
      </x:c>
      <x:c r="P30" s="3" t="s">
        <x:v>53</x:v>
      </x:c>
      <x:c r="Q30" s="3" t="s">
        <x:v>325</x:v>
      </x:c>
      <x:c r="R30" s="3" t="s">
        <x:v>326</x:v>
      </x:c>
      <x:c r="S30" s="3" t="s">
        <x:v>327</x:v>
      </x:c>
      <x:c r="T30" s="3" t="s">
        <x:v>328</x:v>
      </x:c>
      <x:c r="U30" s="3" t="s">
        <x:v>55</x:v>
      </x:c>
      <x:c r="V30" s="3" t="s">
        <x:v>55</x:v>
      </x:c>
      <x:c r="W30" s="3" t="s">
        <x:v>329</x:v>
      </x:c>
      <x:c r="X30" s="3" t="s">
        <x:v>1</x:v>
      </x:c>
      <x:c r="Y30" s="3" t="s">
        <x:v>55</x:v>
      </x:c>
    </x:row>
    <x:row r="31" ht="25" customHeight="1">
      <x:c r="A31" s="9" t="s">
        <x:v>330</x:v>
      </x:c>
      <x:c r="B31" s="9" t="s">
        <x:v>331</x:v>
      </x:c>
      <x:c r="C31" s="9" t="s">
        <x:v>316</x:v>
      </x:c>
      <x:c r="D31" s="9" t="s">
        <x:v>332</x:v>
      </x:c>
      <x:c r="E31" s="9" t="s">
        <x:v>318</x:v>
      </x:c>
      <x:c r="F31" s="9" t="s">
        <x:v>333</x:v>
      </x:c>
      <x:c r="G31" s="9" t="s">
        <x:v>45</x:v>
      </x:c>
      <x:c r="H31" s="9" t="s">
        <x:v>46</x:v>
      </x:c>
      <x:c r="I31" s="9" t="s">
        <x:v>47</x:v>
      </x:c>
      <x:c r="J31" s="9" t="s">
        <x:v>1</x:v>
      </x:c>
      <x:c r="K31" s="9" t="s">
        <x:v>334</x:v>
      </x:c>
      <x:c r="L31" s="9" t="s">
        <x:v>335</x:v>
      </x:c>
      <x:c r="M31" s="9" t="s">
        <x:v>336</x:v>
      </x:c>
      <x:c r="N31" s="9" t="s">
        <x:v>324</x:v>
      </x:c>
      <x:c r="O31" s="9" t="s">
        <x:v>337</x:v>
      </x:c>
      <x:c r="P31" s="9" t="s">
        <x:v>338</x:v>
      </x:c>
      <x:c r="Q31" s="9" t="s">
        <x:v>339</x:v>
      </x:c>
      <x:c r="R31" s="9" t="s">
        <x:v>1</x:v>
      </x:c>
      <x:c r="S31" s="9" t="s">
        <x:v>1</x:v>
      </x:c>
      <x:c r="T31" s="9" t="s">
        <x:v>1</x:v>
      </x:c>
      <x:c r="U31" s="9" t="s">
        <x:v>55</x:v>
      </x:c>
      <x:c r="V31" s="9" t="s">
        <x:v>55</x:v>
      </x:c>
      <x:c r="W31" s="9" t="s">
        <x:v>340</x:v>
      </x:c>
      <x:c r="X31" s="9" t="s">
        <x:v>1</x:v>
      </x:c>
      <x:c r="Y31" s="9" t="s">
        <x:v>156</x:v>
      </x:c>
    </x:row>
    <x:row r="32" ht="25" customHeight="1">
      <x:c r="A32" s="9" t="str">
        <x:v>31</x:v>
      </x:c>
      <x:c r="B32" s="9" t="str">
        <x:v>2026-07-07</x:v>
      </x:c>
      <x:c r="C32" s="9" t="str">
        <x:v>微信视频号人工核验</x:v>
      </x:c>
      <x:c r="D32" s="9" t="str">
        <x:v>微信视频号评论区</x:v>
      </x:c>
      <x:c r="E32" s="9" t="str">
        <x:v>新疆日报维吾尔文</x:v>
      </x:c>
      <x:c r="F32" s="9" t="str">
        <x:v>用户评论/留言</x:v>
      </x:c>
      <x:c r="G32" s="9" t="str">
        <x:v>新疆维吾尔自治区</x:v>
      </x:c>
      <x:c r="H32" s="9" t="str">
        <x:v>自治区</x:v>
      </x:c>
      <x:c r="I32" s="9" t="str">
        <x:v>维吾尔文</x:v>
      </x:c>
      <x:c r="J32" s="9" t="str">
        <x:v>真正为全体人民着想的道路上会开出鲜花，并将永远繁荣发展。（机器翻译初译，待维吾尔语人员复核）</x:v>
      </x:c>
      <x:c r="K32" s="9" t="str">
        <x:v>维吾尔文用户评论</x:v>
      </x:c>
      <x:c r="L32" s="9" t="str">
        <x:v>ھەقىقىي ئومۇمىي خەلقنى ئويلاپ ماڭغان يوللاردىن گۈل ئۈنىدۇ. ھەم مەڭگۈ روناق تاپىدۇ.</x:v>
      </x:c>
      <x:c r="M32" s="9" t="str">
        <x:v>用户以维吾尔文发表评论；机器翻译显示为正向赞许表达，但最终态度仍待维吾尔语人员复核。</x:v>
      </x:c>
      <x:c r="N32" s="9" t="str">
        <x:v>https://weixin.qq.com/sph/AwzENlIwWa</x:v>
      </x:c>
      <x:c r="O32" s="9" t="str">
        <x:v>B</x:v>
      </x:c>
      <x:c r="P32" s="9" t="str">
        <x:v>待维吾尔语人员复核</x:v>
      </x:c>
      <x:c r="Q32" s="9" t="str">
        <x:v>公众态度、维吾尔文评论</x:v>
      </x:c>
      <x:c r="R32" s="9" t="n">
        <x:v>5</x:v>
      </x:c>
      <x:c r="S32" s="9" t="n">
        <x:v>1</x:v>
      </x:c>
      <x:c r="T32" s="9" t="n">
        <x:v>1</x:v>
      </x:c>
      <x:c r="U32" s="9" t="str">
        <x:v>否</x:v>
      </x:c>
      <x:c r="V32" s="9" t="str">
        <x:v>是</x:v>
      </x:c>
      <x:c r="W32" s="9" t="str">
        <x:v>已保存维吾尔文原文；中文译文仅作机器翻译辅助，最终态度待维吾尔语人员复核。</x:v>
      </x:c>
      <x:c r="X32" s="9" t="str">
        <x:v>无</x:v>
      </x:c>
      <x:c r="Y32" s="11" t="str">
        <x:v>是</x:v>
      </x:c>
    </x:row>
    <x:row r="33" ht="25" customHeight="1">
      <x:c r="A33" s="9" t="s">
        <x:v>341</x:v>
      </x:c>
      <x:c r="B33" s="9" t="s">
        <x:v>342</x:v>
      </x:c>
      <x:c r="C33" s="9" t="s">
        <x:v>316</x:v>
      </x:c>
      <x:c r="D33" s="9" t="s">
        <x:v>332</x:v>
      </x:c>
      <x:c r="E33" s="9" t="s">
        <x:v>318</x:v>
      </x:c>
      <x:c r="F33" s="9" t="s">
        <x:v>343</x:v>
      </x:c>
      <x:c r="G33" s="9" t="s">
        <x:v>45</x:v>
      </x:c>
      <x:c r="H33" s="9" t="s">
        <x:v>46</x:v>
      </x:c>
      <x:c r="I33" s="9" t="s">
        <x:v>344</x:v>
      </x:c>
      <x:c r="J33" s="9" t="s">
        <x:v>1</x:v>
      </x:c>
      <x:c r="K33" s="9" t="s">
        <x:v>345</x:v>
      </x:c>
      <x:c r="L33" s="9" t="s">
        <x:v>346</x:v>
      </x:c>
      <x:c r="M33" s="9" t="s">
        <x:v>347</x:v>
      </x:c>
      <x:c r="N33" s="9" t="s">
        <x:v>324</x:v>
      </x:c>
      <x:c r="O33" s="9" t="s">
        <x:v>337</x:v>
      </x:c>
      <x:c r="P33" s="9" t="s">
        <x:v>153</x:v>
      </x:c>
      <x:c r="Q33" s="9" t="s">
        <x:v>348</x:v>
      </x:c>
      <x:c r="R33" s="9" t="s">
        <x:v>1</x:v>
      </x:c>
      <x:c r="S33" s="9" t="s">
        <x:v>349</x:v>
      </x:c>
      <x:c r="T33" s="9" t="s">
        <x:v>1</x:v>
      </x:c>
      <x:c r="U33" s="9" t="s">
        <x:v>55</x:v>
      </x:c>
      <x:c r="V33" s="9" t="s">
        <x:v>55</x:v>
      </x:c>
      <x:c r="W33" s="9" t="s">
        <x:v>350</x:v>
      </x:c>
      <x:c r="X33" s="9" t="s">
        <x:v>1</x:v>
      </x:c>
      <x:c r="Y33" s="9" t="s">
        <x:v>156</x:v>
      </x:c>
    </x:row>
    <x:row r="34" ht="25" customHeight="1">
      <x:c r="A34" s="9" t="s">
        <x:v>351</x:v>
      </x:c>
      <x:c r="B34" s="9" t="s">
        <x:v>352</x:v>
      </x:c>
      <x:c r="C34" s="9" t="s">
        <x:v>353</x:v>
      </x:c>
      <x:c r="D34" s="9" t="s">
        <x:v>354</x:v>
      </x:c>
      <x:c r="E34" s="9" t="s">
        <x:v>355</x:v>
      </x:c>
      <x:c r="F34" s="9" t="s">
        <x:v>11</x:v>
      </x:c>
      <x:c r="G34" s="9" t="s">
        <x:v>356</x:v>
      </x:c>
      <x:c r="H34" s="9" t="s">
        <x:v>46</x:v>
      </x:c>
      <x:c r="I34" s="9" t="s">
        <x:v>47</x:v>
      </x:c>
      <x:c r="J34" s="9" t="s">
        <x:v>1</x:v>
      </x:c>
      <x:c r="K34" s="9" t="s">
        <x:v>106</x:v>
      </x:c>
      <x:c r="L34" s="9" t="s">
        <x:v>357</x:v>
      </x:c>
      <x:c r="M34" s="9" t="s">
        <x:v>358</x:v>
      </x:c>
      <x:c r="N34" s="9" t="s">
        <x:v>359</x:v>
      </x:c>
      <x:c r="O34" s="9" t="s">
        <x:v>52</x:v>
      </x:c>
      <x:c r="P34" s="9" t="s">
        <x:v>53</x:v>
      </x:c>
      <x:c r="Q34" s="9" t="s">
        <x:v>360</x:v>
      </x:c>
      <x:c r="R34" s="9" t="s">
        <x:v>1</x:v>
      </x:c>
      <x:c r="S34" s="9" t="s">
        <x:v>1</x:v>
      </x:c>
      <x:c r="T34" s="9" t="s">
        <x:v>1</x:v>
      </x:c>
      <x:c r="U34" s="9" t="s">
        <x:v>55</x:v>
      </x:c>
      <x:c r="V34" s="9" t="s">
        <x:v>55</x:v>
      </x:c>
      <x:c r="W34" s="9" t="s">
        <x:v>1</x:v>
      </x:c>
      <x:c r="X34" s="9" t="s">
        <x:v>1</x:v>
      </x:c>
      <x:c r="Y34" s="9" t="s">
        <x:v>55</x:v>
      </x:c>
    </x:row>
    <x:row r="35" ht="25" customHeight="1">
      <x:c r="A35" s="9" t="s">
        <x:v>361</x:v>
      </x:c>
      <x:c r="B35" s="9" t="s">
        <x:v>362</x:v>
      </x:c>
      <x:c r="C35" s="9" t="s">
        <x:v>363</x:v>
      </x:c>
      <x:c r="D35" s="9" t="s">
        <x:v>364</x:v>
      </x:c>
      <x:c r="E35" s="9" t="s">
        <x:v>365</x:v>
      </x:c>
      <x:c r="F35" s="9" t="s">
        <x:v>11</x:v>
      </x:c>
      <x:c r="G35" s="9" t="s">
        <x:v>366</x:v>
      </x:c>
      <x:c r="H35" s="9" t="s">
        <x:v>367</x:v>
      </x:c>
      <x:c r="I35" s="9" t="s">
        <x:v>47</x:v>
      </x:c>
      <x:c r="J35" s="9" t="s">
        <x:v>1</x:v>
      </x:c>
      <x:c r="K35" s="9" t="s">
        <x:v>368</x:v>
      </x:c>
      <x:c r="L35" s="9" t="s">
        <x:v>369</x:v>
      </x:c>
      <x:c r="M35" s="9" t="s">
        <x:v>370</x:v>
      </x:c>
      <x:c r="N35" s="9" t="s">
        <x:v>371</x:v>
      </x:c>
      <x:c r="O35" s="9" t="s">
        <x:v>52</x:v>
      </x:c>
      <x:c r="P35" s="9" t="s">
        <x:v>53</x:v>
      </x:c>
      <x:c r="Q35" s="9" t="s">
        <x:v>372</x:v>
      </x:c>
      <x:c r="R35" s="9" t="s">
        <x:v>1</x:v>
      </x:c>
      <x:c r="S35" s="9" t="s">
        <x:v>1</x:v>
      </x:c>
      <x:c r="T35" s="9" t="s">
        <x:v>1</x:v>
      </x:c>
      <x:c r="U35" s="9" t="s">
        <x:v>55</x:v>
      </x:c>
      <x:c r="V35" s="9" t="s">
        <x:v>55</x:v>
      </x:c>
      <x:c r="W35" s="9" t="s">
        <x:v>1</x:v>
      </x:c>
      <x:c r="X35" s="9" t="s">
        <x:v>1</x:v>
      </x:c>
      <x:c r="Y35" s="9" t="s">
        <x:v>55</x:v>
      </x:c>
    </x:row>
    <x:row r="36" ht="25" customHeight="1">
      <x:c r="A36" s="9" t="s">
        <x:v>373</x:v>
      </x:c>
      <x:c r="B36" s="9" t="s">
        <x:v>265</x:v>
      </x:c>
      <x:c r="C36" s="9" t="s">
        <x:v>363</x:v>
      </x:c>
      <x:c r="D36" s="9" t="s">
        <x:v>374</x:v>
      </x:c>
      <x:c r="E36" s="9" t="s">
        <x:v>375</x:v>
      </x:c>
      <x:c r="F36" s="9" t="s">
        <x:v>11</x:v>
      </x:c>
      <x:c r="G36" s="9" t="s">
        <x:v>376</x:v>
      </x:c>
      <x:c r="H36" s="9" t="s">
        <x:v>367</x:v>
      </x:c>
      <x:c r="I36" s="9" t="s">
        <x:v>47</x:v>
      </x:c>
      <x:c r="J36" s="9" t="s">
        <x:v>1</x:v>
      </x:c>
      <x:c r="K36" s="9" t="s">
        <x:v>377</x:v>
      </x:c>
      <x:c r="L36" s="9" t="s">
        <x:v>378</x:v>
      </x:c>
      <x:c r="M36" s="9" t="s">
        <x:v>379</x:v>
      </x:c>
      <x:c r="N36" s="9" t="s">
        <x:v>380</x:v>
      </x:c>
      <x:c r="O36" s="9" t="s">
        <x:v>52</x:v>
      </x:c>
      <x:c r="P36" s="9" t="s">
        <x:v>53</x:v>
      </x:c>
      <x:c r="Q36" s="9" t="s">
        <x:v>360</x:v>
      </x:c>
      <x:c r="R36" s="9" t="s">
        <x:v>1</x:v>
      </x:c>
      <x:c r="S36" s="9" t="s">
        <x:v>1</x:v>
      </x:c>
      <x:c r="T36" s="9" t="s">
        <x:v>1</x:v>
      </x:c>
      <x:c r="U36" s="9" t="s">
        <x:v>55</x:v>
      </x:c>
      <x:c r="V36" s="9" t="s">
        <x:v>55</x:v>
      </x:c>
      <x:c r="W36" s="9" t="s">
        <x:v>1</x:v>
      </x:c>
      <x:c r="X36" s="9" t="s">
        <x:v>1</x:v>
      </x:c>
      <x:c r="Y36" s="9" t="s">
        <x:v>55</x:v>
      </x:c>
    </x:row>
    <x:row r="37" ht="25" customHeight="1">
      <x:c r="A37" s="9" t="s">
        <x:v>381</x:v>
      </x:c>
      <x:c r="B37" s="9" t="s">
        <x:v>382</x:v>
      </x:c>
      <x:c r="C37" s="9" t="s">
        <x:v>363</x:v>
      </x:c>
      <x:c r="D37" s="9" t="s">
        <x:v>364</x:v>
      </x:c>
      <x:c r="E37" s="9" t="s">
        <x:v>383</x:v>
      </x:c>
      <x:c r="F37" s="9" t="s">
        <x:v>11</x:v>
      </x:c>
      <x:c r="G37" s="9" t="s">
        <x:v>384</x:v>
      </x:c>
      <x:c r="H37" s="9" t="s">
        <x:v>385</x:v>
      </x:c>
      <x:c r="I37" s="9" t="s">
        <x:v>47</x:v>
      </x:c>
      <x:c r="J37" s="9" t="s">
        <x:v>1</x:v>
      </x:c>
      <x:c r="K37" s="9" t="s">
        <x:v>386</x:v>
      </x:c>
      <x:c r="L37" s="9" t="s">
        <x:v>387</x:v>
      </x:c>
      <x:c r="M37" s="9" t="s">
        <x:v>388</x:v>
      </x:c>
      <x:c r="N37" s="9" t="s">
        <x:v>371</x:v>
      </x:c>
      <x:c r="O37" s="9" t="s">
        <x:v>52</x:v>
      </x:c>
      <x:c r="P37" s="9" t="s">
        <x:v>53</x:v>
      </x:c>
      <x:c r="Q37" s="9" t="s">
        <x:v>360</x:v>
      </x:c>
      <x:c r="R37" s="9" t="s">
        <x:v>1</x:v>
      </x:c>
      <x:c r="S37" s="9" t="s">
        <x:v>1</x:v>
      </x:c>
      <x:c r="T37" s="9" t="s">
        <x:v>1</x:v>
      </x:c>
      <x:c r="U37" s="9" t="s">
        <x:v>55</x:v>
      </x:c>
      <x:c r="V37" s="9" t="s">
        <x:v>55</x:v>
      </x:c>
      <x:c r="W37" s="9" t="s">
        <x:v>1</x:v>
      </x:c>
      <x:c r="X37" s="9" t="s">
        <x:v>1</x:v>
      </x:c>
      <x:c r="Y37" s="9" t="s">
        <x:v>55</x:v>
      </x:c>
    </x:row>
    <x:row r="38" ht="25" customHeight="1">
      <x:c r="A38" s="9" t="s">
        <x:v>389</x:v>
      </x:c>
      <x:c r="B38" s="9" t="s">
        <x:v>77</x:v>
      </x:c>
      <x:c r="C38" s="9" t="s">
        <x:v>363</x:v>
      </x:c>
      <x:c r="D38" s="9" t="s">
        <x:v>364</x:v>
      </x:c>
      <x:c r="E38" s="9" t="s">
        <x:v>390</x:v>
      </x:c>
      <x:c r="F38" s="9" t="s">
        <x:v>11</x:v>
      </x:c>
      <x:c r="G38" s="9" t="s">
        <x:v>391</x:v>
      </x:c>
      <x:c r="H38" s="9" t="s">
        <x:v>118</x:v>
      </x:c>
      <x:c r="I38" s="9" t="s">
        <x:v>47</x:v>
      </x:c>
      <x:c r="J38" s="9" t="s">
        <x:v>1</x:v>
      </x:c>
      <x:c r="K38" s="9" t="s">
        <x:v>392</x:v>
      </x:c>
      <x:c r="L38" s="9" t="s">
        <x:v>393</x:v>
      </x:c>
      <x:c r="M38" s="9" t="s">
        <x:v>394</x:v>
      </x:c>
      <x:c r="N38" s="9" t="s">
        <x:v>371</x:v>
      </x:c>
      <x:c r="O38" s="9" t="s">
        <x:v>52</x:v>
      </x:c>
      <x:c r="P38" s="9" t="s">
        <x:v>53</x:v>
      </x:c>
      <x:c r="Q38" s="9" t="s">
        <x:v>395</x:v>
      </x:c>
      <x:c r="R38" s="9" t="s">
        <x:v>1</x:v>
      </x:c>
      <x:c r="S38" s="9" t="s">
        <x:v>1</x:v>
      </x:c>
      <x:c r="T38" s="9" t="s">
        <x:v>1</x:v>
      </x:c>
      <x:c r="U38" s="9" t="s">
        <x:v>55</x:v>
      </x:c>
      <x:c r="V38" s="9" t="s">
        <x:v>55</x:v>
      </x:c>
      <x:c r="W38" s="9" t="s">
        <x:v>1</x:v>
      </x:c>
      <x:c r="X38" s="9" t="s">
        <x:v>1</x:v>
      </x:c>
      <x:c r="Y38" s="9" t="s">
        <x:v>55</x:v>
      </x:c>
    </x:row>
    <x:row r="39" ht="25" customHeight="1">
      <x:c r="A39" s="9" t="s">
        <x:v>396</x:v>
      </x:c>
      <x:c r="B39" s="9" t="s">
        <x:v>397</x:v>
      </x:c>
      <x:c r="C39" s="9" t="s">
        <x:v>353</x:v>
      </x:c>
      <x:c r="D39" s="9" t="s">
        <x:v>398</x:v>
      </x:c>
      <x:c r="E39" s="9" t="s">
        <x:v>399</x:v>
      </x:c>
      <x:c r="F39" s="9" t="s">
        <x:v>61</x:v>
      </x:c>
      <x:c r="G39" s="9" t="s">
        <x:v>400</x:v>
      </x:c>
      <x:c r="H39" s="9" t="s">
        <x:v>401</x:v>
      </x:c>
      <x:c r="I39" s="9" t="s">
        <x:v>47</x:v>
      </x:c>
      <x:c r="J39" s="9" t="s">
        <x:v>1</x:v>
      </x:c>
      <x:c r="K39" s="9" t="s">
        <x:v>402</x:v>
      </x:c>
      <x:c r="L39" s="9" t="s">
        <x:v>403</x:v>
      </x:c>
      <x:c r="M39" s="9" t="s">
        <x:v>404</x:v>
      </x:c>
      <x:c r="N39" s="9" t="s">
        <x:v>405</x:v>
      </x:c>
      <x:c r="O39" s="9" t="s">
        <x:v>52</x:v>
      </x:c>
      <x:c r="P39" s="9" t="s">
        <x:v>66</x:v>
      </x:c>
      <x:c r="Q39" s="9" t="s">
        <x:v>406</x:v>
      </x:c>
      <x:c r="R39" s="9" t="s">
        <x:v>1</x:v>
      </x:c>
      <x:c r="S39" s="9" t="s">
        <x:v>1</x:v>
      </x:c>
      <x:c r="T39" s="9" t="s">
        <x:v>1</x:v>
      </x:c>
      <x:c r="U39" s="9" t="s">
        <x:v>55</x:v>
      </x:c>
      <x:c r="V39" s="9" t="s">
        <x:v>156</x:v>
      </x:c>
      <x:c r="W39" s="9" t="s">
        <x:v>407</x:v>
      </x:c>
      <x:c r="X39" s="9" t="s">
        <x:v>1</x:v>
      </x:c>
      <x:c r="Y39" s="9" t="s">
        <x:v>55</x:v>
      </x:c>
    </x:row>
    <x:row r="40" ht="25" customHeight="1">
      <x:c r="A40" s="9" t="s">
        <x:v>408</x:v>
      </x:c>
      <x:c r="B40" s="9" t="s">
        <x:v>97</x:v>
      </x:c>
      <x:c r="C40" s="9" t="s">
        <x:v>353</x:v>
      </x:c>
      <x:c r="D40" s="9" t="s">
        <x:v>409</x:v>
      </x:c>
      <x:c r="E40" s="9" t="s">
        <x:v>410</x:v>
      </x:c>
      <x:c r="F40" s="9" t="s">
        <x:v>11</x:v>
      </x:c>
      <x:c r="G40" s="9" t="s">
        <x:v>356</x:v>
      </x:c>
      <x:c r="H40" s="9" t="s">
        <x:v>46</x:v>
      </x:c>
      <x:c r="I40" s="9" t="s">
        <x:v>47</x:v>
      </x:c>
      <x:c r="J40" s="9" t="s">
        <x:v>1</x:v>
      </x:c>
      <x:c r="K40" s="9" t="s">
        <x:v>411</x:v>
      </x:c>
      <x:c r="L40" s="9" t="s">
        <x:v>412</x:v>
      </x:c>
      <x:c r="M40" s="9" t="s">
        <x:v>413</x:v>
      </x:c>
      <x:c r="N40" s="9" t="s">
        <x:v>414</x:v>
      </x:c>
      <x:c r="O40" s="9" t="s">
        <x:v>52</x:v>
      </x:c>
      <x:c r="P40" s="9" t="s">
        <x:v>53</x:v>
      </x:c>
      <x:c r="Q40" s="9" t="s">
        <x:v>415</x:v>
      </x:c>
      <x:c r="R40" s="9" t="s">
        <x:v>1</x:v>
      </x:c>
      <x:c r="S40" s="9" t="s">
        <x:v>1</x:v>
      </x:c>
      <x:c r="T40" s="9" t="s">
        <x:v>1</x:v>
      </x:c>
      <x:c r="U40" s="9" t="s">
        <x:v>55</x:v>
      </x:c>
      <x:c r="V40" s="9" t="s">
        <x:v>55</x:v>
      </x:c>
      <x:c r="W40" s="9" t="s">
        <x:v>1</x:v>
      </x:c>
      <x:c r="X40" s="9" t="s">
        <x:v>1</x:v>
      </x:c>
      <x:c r="Y40" s="9" t="s">
        <x:v>55</x:v>
      </x:c>
    </x:row>
    <x:row r="41" ht="25" customHeight="1">
      <x:c r="A41" s="9" t="s">
        <x:v>416</x:v>
      </x:c>
      <x:c r="B41" s="9" t="s">
        <x:v>352</x:v>
      </x:c>
      <x:c r="C41" s="9" t="s">
        <x:v>353</x:v>
      </x:c>
      <x:c r="D41" s="9" t="s">
        <x:v>417</x:v>
      </x:c>
      <x:c r="E41" s="9" t="s">
        <x:v>418</x:v>
      </x:c>
      <x:c r="F41" s="9" t="s">
        <x:v>419</x:v>
      </x:c>
      <x:c r="G41" s="9" t="s">
        <x:v>420</x:v>
      </x:c>
      <x:c r="H41" s="9" t="s">
        <x:v>385</x:v>
      </x:c>
      <x:c r="I41" s="9" t="s">
        <x:v>47</x:v>
      </x:c>
      <x:c r="J41" s="9" t="s">
        <x:v>1</x:v>
      </x:c>
      <x:c r="K41" s="9" t="s">
        <x:v>421</x:v>
      </x:c>
      <x:c r="L41" s="9" t="s">
        <x:v>422</x:v>
      </x:c>
      <x:c r="M41" s="9" t="s">
        <x:v>423</x:v>
      </x:c>
      <x:c r="N41" s="9" t="s">
        <x:v>359</x:v>
      </x:c>
      <x:c r="O41" s="9" t="s">
        <x:v>52</x:v>
      </x:c>
      <x:c r="P41" s="9" t="s">
        <x:v>153</x:v>
      </x:c>
      <x:c r="Q41" s="9" t="s">
        <x:v>360</x:v>
      </x:c>
      <x:c r="R41" s="9" t="s">
        <x:v>1</x:v>
      </x:c>
      <x:c r="S41" s="9" t="s">
        <x:v>1</x:v>
      </x:c>
      <x:c r="T41" s="9" t="s">
        <x:v>1</x:v>
      </x:c>
      <x:c r="U41" s="9" t="s">
        <x:v>55</x:v>
      </x:c>
      <x:c r="V41" s="9" t="s">
        <x:v>55</x:v>
      </x:c>
      <x:c r="W41" s="9" t="s">
        <x:v>424</x:v>
      </x:c>
      <x:c r="X41" s="9" t="s">
        <x:v>1</x:v>
      </x:c>
      <x:c r="Y41" s="9" t="s">
        <x:v>156</x:v>
      </x:c>
    </x:row>
    <x:row r="42" ht="25" customHeight="1">
      <x:c r="A42" s="9" t="s">
        <x:v>425</x:v>
      </x:c>
      <x:c r="B42" s="9" t="s">
        <x:v>397</x:v>
      </x:c>
      <x:c r="C42" s="9" t="s">
        <x:v>363</x:v>
      </x:c>
      <x:c r="D42" s="9" t="s">
        <x:v>374</x:v>
      </x:c>
      <x:c r="E42" s="9" t="s">
        <x:v>426</x:v>
      </x:c>
      <x:c r="F42" s="9" t="s">
        <x:v>419</x:v>
      </x:c>
      <x:c r="G42" s="9" t="s">
        <x:v>376</x:v>
      </x:c>
      <x:c r="H42" s="9" t="s">
        <x:v>367</x:v>
      </x:c>
      <x:c r="I42" s="9" t="s">
        <x:v>47</x:v>
      </x:c>
      <x:c r="J42" s="9" t="s">
        <x:v>1</x:v>
      </x:c>
      <x:c r="K42" s="9" t="s">
        <x:v>427</x:v>
      </x:c>
      <x:c r="L42" s="9" t="s">
        <x:v>428</x:v>
      </x:c>
      <x:c r="M42" s="9" t="s">
        <x:v>423</x:v>
      </x:c>
      <x:c r="N42" s="9" t="s">
        <x:v>380</x:v>
      </x:c>
      <x:c r="O42" s="9" t="s">
        <x:v>52</x:v>
      </x:c>
      <x:c r="P42" s="9" t="s">
        <x:v>153</x:v>
      </x:c>
      <x:c r="Q42" s="9" t="s">
        <x:v>360</x:v>
      </x:c>
      <x:c r="R42" s="9" t="s">
        <x:v>1</x:v>
      </x:c>
      <x:c r="S42" s="9" t="s">
        <x:v>1</x:v>
      </x:c>
      <x:c r="T42" s="9" t="s">
        <x:v>1</x:v>
      </x:c>
      <x:c r="U42" s="9" t="s">
        <x:v>55</x:v>
      </x:c>
      <x:c r="V42" s="9" t="s">
        <x:v>55</x:v>
      </x:c>
      <x:c r="W42" s="9" t="s">
        <x:v>424</x:v>
      </x:c>
      <x:c r="X42" s="9" t="s">
        <x:v>1</x:v>
      </x:c>
      <x:c r="Y42" s="9" t="s">
        <x:v>156</x:v>
      </x:c>
    </x:row>
    <x:row r="43" ht="25" customHeight="1">
      <x:c r="A43" s="9" t="s">
        <x:v>429</x:v>
      </x:c>
      <x:c r="B43" s="9" t="s">
        <x:v>430</x:v>
      </x:c>
      <x:c r="C43" s="9" t="s">
        <x:v>283</x:v>
      </x:c>
      <x:c r="D43" s="9" t="s">
        <x:v>431</x:v>
      </x:c>
      <x:c r="E43" s="9" t="s">
        <x:v>432</x:v>
      </x:c>
      <x:c r="F43" s="9" t="s">
        <x:v>11</x:v>
      </x:c>
      <x:c r="G43" s="9" t="s">
        <x:v>433</x:v>
      </x:c>
      <x:c r="H43" s="9" t="s">
        <x:v>385</x:v>
      </x:c>
      <x:c r="I43" s="9" t="s">
        <x:v>47</x:v>
      </x:c>
      <x:c r="J43" s="9" t="s">
        <x:v>1</x:v>
      </x:c>
      <x:c r="K43" s="9" t="s">
        <x:v>434</x:v>
      </x:c>
      <x:c r="L43" s="9" t="s">
        <x:v>435</x:v>
      </x:c>
      <x:c r="M43" s="9" t="s">
        <x:v>436</x:v>
      </x:c>
      <x:c r="N43" s="9" t="s">
        <x:v>437</x:v>
      </x:c>
      <x:c r="O43" s="9" t="s">
        <x:v>52</x:v>
      </x:c>
      <x:c r="P43" s="9" t="s">
        <x:v>53</x:v>
      </x:c>
      <x:c r="Q43" s="9" t="s">
        <x:v>360</x:v>
      </x:c>
      <x:c r="R43" s="9" t="s">
        <x:v>1</x:v>
      </x:c>
      <x:c r="S43" s="9" t="s">
        <x:v>1</x:v>
      </x:c>
      <x:c r="T43" s="9" t="s">
        <x:v>1</x:v>
      </x:c>
      <x:c r="U43" s="9" t="s">
        <x:v>55</x:v>
      </x:c>
      <x:c r="V43" s="9" t="s">
        <x:v>55</x:v>
      </x:c>
      <x:c r="W43" s="9" t="s">
        <x:v>1</x:v>
      </x:c>
      <x:c r="X43" s="9" t="s">
        <x:v>1</x:v>
      </x:c>
      <x:c r="Y43" s="9" t="s">
        <x:v>55</x:v>
      </x:c>
    </x:row>
    <x:row r="44" ht="25" customHeight="1">
      <x:c r="A44" s="9" t="s">
        <x:v>438</x:v>
      </x:c>
      <x:c r="B44" s="9" t="s">
        <x:v>114</x:v>
      </x:c>
      <x:c r="C44" s="9" t="s">
        <x:v>283</x:v>
      </x:c>
      <x:c r="D44" s="9" t="s">
        <x:v>431</x:v>
      </x:c>
      <x:c r="E44" s="9" t="s">
        <x:v>439</x:v>
      </x:c>
      <x:c r="F44" s="9" t="s">
        <x:v>61</x:v>
      </x:c>
      <x:c r="G44" s="9" t="s">
        <x:v>440</x:v>
      </x:c>
      <x:c r="H44" s="9" t="s">
        <x:v>441</x:v>
      </x:c>
      <x:c r="I44" s="9" t="s">
        <x:v>47</x:v>
      </x:c>
      <x:c r="J44" s="9" t="s">
        <x:v>1</x:v>
      </x:c>
      <x:c r="K44" s="9" t="s">
        <x:v>178</x:v>
      </x:c>
      <x:c r="L44" s="9" t="s">
        <x:v>442</x:v>
      </x:c>
      <x:c r="M44" s="9" t="s">
        <x:v>443</x:v>
      </x:c>
      <x:c r="N44" s="9" t="s">
        <x:v>444</x:v>
      </x:c>
      <x:c r="O44" s="9" t="s">
        <x:v>52</x:v>
      </x:c>
      <x:c r="P44" s="9" t="s">
        <x:v>61</x:v>
      </x:c>
      <x:c r="Q44" s="9" t="s">
        <x:v>445</x:v>
      </x:c>
      <x:c r="R44" s="9" t="s">
        <x:v>1</x:v>
      </x:c>
      <x:c r="S44" s="9" t="s">
        <x:v>1</x:v>
      </x:c>
      <x:c r="T44" s="9" t="s">
        <x:v>1</x:v>
      </x:c>
      <x:c r="U44" s="9" t="s">
        <x:v>55</x:v>
      </x:c>
      <x:c r="V44" s="9" t="s">
        <x:v>55</x:v>
      </x:c>
      <x:c r="W44" s="9" t="s">
        <x:v>1</x:v>
      </x:c>
      <x:c r="X44" s="9" t="s">
        <x:v>1</x:v>
      </x:c>
      <x:c r="Y44" s="9" t="s">
        <x:v>55</x:v>
      </x:c>
    </x:row>
    <x:row r="45" ht="25" customHeight="1">
      <x:c r="A45" s="9" t="s">
        <x:v>446</x:v>
      </x:c>
      <x:c r="B45" s="9" t="s">
        <x:v>77</x:v>
      </x:c>
      <x:c r="C45" s="9" t="s">
        <x:v>283</x:v>
      </x:c>
      <x:c r="D45" s="9" t="s">
        <x:v>431</x:v>
      </x:c>
      <x:c r="E45" s="9" t="s">
        <x:v>447</x:v>
      </x:c>
      <x:c r="F45" s="9" t="s">
        <x:v>11</x:v>
      </x:c>
      <x:c r="G45" s="9" t="s">
        <x:v>356</x:v>
      </x:c>
      <x:c r="H45" s="9" t="s">
        <x:v>46</x:v>
      </x:c>
      <x:c r="I45" s="9" t="s">
        <x:v>47</x:v>
      </x:c>
      <x:c r="J45" s="9" t="s">
        <x:v>1</x:v>
      </x:c>
      <x:c r="K45" s="9" t="s">
        <x:v>448</x:v>
      </x:c>
      <x:c r="L45" s="9" t="s">
        <x:v>449</x:v>
      </x:c>
      <x:c r="M45" s="9" t="s">
        <x:v>450</x:v>
      </x:c>
      <x:c r="N45" s="9" t="s">
        <x:v>451</x:v>
      </x:c>
      <x:c r="O45" s="9" t="s">
        <x:v>52</x:v>
      </x:c>
      <x:c r="P45" s="9" t="s">
        <x:v>53</x:v>
      </x:c>
      <x:c r="Q45" s="9" t="s">
        <x:v>415</x:v>
      </x:c>
      <x:c r="R45" s="9" t="s">
        <x:v>1</x:v>
      </x:c>
      <x:c r="S45" s="9" t="s">
        <x:v>1</x:v>
      </x:c>
      <x:c r="T45" s="9" t="s">
        <x:v>1</x:v>
      </x:c>
      <x:c r="U45" s="9" t="s">
        <x:v>55</x:v>
      </x:c>
      <x:c r="V45" s="9" t="s">
        <x:v>55</x:v>
      </x:c>
      <x:c r="W45" s="9" t="s">
        <x:v>1</x:v>
      </x:c>
      <x:c r="X45" s="9" t="s">
        <x:v>1</x:v>
      </x:c>
      <x:c r="Y45" s="9" t="s">
        <x:v>55</x:v>
      </x:c>
    </x:row>
    <x:row r="46" ht="25" customHeight="1">
      <x:c r="A46" s="9" t="s">
        <x:v>452</x:v>
      </x:c>
      <x:c r="B46" s="9" t="s">
        <x:v>352</x:v>
      </x:c>
      <x:c r="C46" s="9" t="s">
        <x:v>283</x:v>
      </x:c>
      <x:c r="D46" s="9" t="s">
        <x:v>453</x:v>
      </x:c>
      <x:c r="E46" s="9" t="s">
        <x:v>454</x:v>
      </x:c>
      <x:c r="F46" s="9" t="s">
        <x:v>11</x:v>
      </x:c>
      <x:c r="G46" s="9" t="s">
        <x:v>455</x:v>
      </x:c>
      <x:c r="H46" s="9" t="s">
        <x:v>385</x:v>
      </x:c>
      <x:c r="I46" s="9" t="s">
        <x:v>47</x:v>
      </x:c>
      <x:c r="J46" s="9" t="s">
        <x:v>1</x:v>
      </x:c>
      <x:c r="K46" s="9" t="s">
        <x:v>456</x:v>
      </x:c>
      <x:c r="L46" s="9" t="s">
        <x:v>457</x:v>
      </x:c>
      <x:c r="M46" s="9" t="s">
        <x:v>458</x:v>
      </x:c>
      <x:c r="N46" s="9" t="s">
        <x:v>459</x:v>
      </x:c>
      <x:c r="O46" s="9" t="s">
        <x:v>52</x:v>
      </x:c>
      <x:c r="P46" s="9" t="s">
        <x:v>53</x:v>
      </x:c>
      <x:c r="Q46" s="9" t="s">
        <x:v>445</x:v>
      </x:c>
      <x:c r="R46" s="9" t="s">
        <x:v>1</x:v>
      </x:c>
      <x:c r="S46" s="9" t="s">
        <x:v>1</x:v>
      </x:c>
      <x:c r="T46" s="9" t="s">
        <x:v>1</x:v>
      </x:c>
      <x:c r="U46" s="9" t="s">
        <x:v>55</x:v>
      </x:c>
      <x:c r="V46" s="9" t="s">
        <x:v>55</x:v>
      </x:c>
      <x:c r="W46" s="9" t="s">
        <x:v>1</x:v>
      </x:c>
      <x:c r="X46" s="9" t="s">
        <x:v>1</x:v>
      </x:c>
      <x:c r="Y46" s="9" t="s">
        <x:v>55</x:v>
      </x:c>
    </x:row>
    <x:row r="47" ht="25" customHeight="1">
      <x:c r="A47" s="9" t="s">
        <x:v>460</x:v>
      </x:c>
      <x:c r="B47" s="9" t="s">
        <x:v>430</x:v>
      </x:c>
      <x:c r="C47" s="9" t="s">
        <x:v>283</x:v>
      </x:c>
      <x:c r="D47" s="9" t="s">
        <x:v>453</x:v>
      </x:c>
      <x:c r="E47" s="9" t="s">
        <x:v>454</x:v>
      </x:c>
      <x:c r="F47" s="9" t="s">
        <x:v>11</x:v>
      </x:c>
      <x:c r="G47" s="9" t="s">
        <x:v>455</x:v>
      </x:c>
      <x:c r="H47" s="9" t="s">
        <x:v>385</x:v>
      </x:c>
      <x:c r="I47" s="9" t="s">
        <x:v>47</x:v>
      </x:c>
      <x:c r="J47" s="9" t="s">
        <x:v>1</x:v>
      </x:c>
      <x:c r="K47" s="9" t="s">
        <x:v>461</x:v>
      </x:c>
      <x:c r="L47" s="9" t="s">
        <x:v>462</x:v>
      </x:c>
      <x:c r="M47" s="9" t="s">
        <x:v>463</x:v>
      </x:c>
      <x:c r="N47" s="9" t="s">
        <x:v>464</x:v>
      </x:c>
      <x:c r="O47" s="9" t="s">
        <x:v>52</x:v>
      </x:c>
      <x:c r="P47" s="9" t="s">
        <x:v>53</x:v>
      </x:c>
      <x:c r="Q47" s="9" t="s">
        <x:v>445</x:v>
      </x:c>
      <x:c r="R47" s="9" t="s">
        <x:v>1</x:v>
      </x:c>
      <x:c r="S47" s="9" t="s">
        <x:v>1</x:v>
      </x:c>
      <x:c r="T47" s="9" t="s">
        <x:v>1</x:v>
      </x:c>
      <x:c r="U47" s="9" t="s">
        <x:v>55</x:v>
      </x:c>
      <x:c r="V47" s="9" t="s">
        <x:v>55</x:v>
      </x:c>
      <x:c r="W47" s="9" t="s">
        <x:v>1</x:v>
      </x:c>
      <x:c r="X47" s="9" t="s">
        <x:v>1</x:v>
      </x:c>
      <x:c r="Y47" s="9" t="s">
        <x:v>55</x:v>
      </x:c>
    </x:row>
    <x:row r="48" ht="25" customHeight="1">
      <x:c r="A48" s="9" t="s">
        <x:v>465</x:v>
      </x:c>
      <x:c r="B48" s="9" t="s">
        <x:v>466</x:v>
      </x:c>
      <x:c r="C48" s="9" t="s">
        <x:v>283</x:v>
      </x:c>
      <x:c r="D48" s="9" t="s">
        <x:v>467</x:v>
      </x:c>
      <x:c r="E48" s="9" t="s">
        <x:v>468</x:v>
      </x:c>
      <x:c r="F48" s="9" t="s">
        <x:v>11</x:v>
      </x:c>
      <x:c r="G48" s="9" t="s">
        <x:v>469</x:v>
      </x:c>
      <x:c r="H48" s="9" t="s">
        <x:v>385</x:v>
      </x:c>
      <x:c r="I48" s="9" t="s">
        <x:v>47</x:v>
      </x:c>
      <x:c r="J48" s="9" t="s">
        <x:v>1</x:v>
      </x:c>
      <x:c r="K48" s="9" t="s">
        <x:v>470</x:v>
      </x:c>
      <x:c r="L48" s="9" t="s">
        <x:v>471</x:v>
      </x:c>
      <x:c r="M48" s="9" t="s">
        <x:v>472</x:v>
      </x:c>
      <x:c r="N48" s="9" t="s">
        <x:v>473</x:v>
      </x:c>
      <x:c r="O48" s="9" t="s">
        <x:v>52</x:v>
      </x:c>
      <x:c r="P48" s="9" t="s">
        <x:v>53</x:v>
      </x:c>
      <x:c r="Q48" s="9" t="s">
        <x:v>360</x:v>
      </x:c>
      <x:c r="R48" s="9" t="s">
        <x:v>1</x:v>
      </x:c>
      <x:c r="S48" s="9" t="s">
        <x:v>1</x:v>
      </x:c>
      <x:c r="T48" s="9" t="s">
        <x:v>1</x:v>
      </x:c>
      <x:c r="U48" s="9" t="s">
        <x:v>55</x:v>
      </x:c>
      <x:c r="V48" s="9" t="s">
        <x:v>55</x:v>
      </x:c>
      <x:c r="W48" s="9" t="s">
        <x:v>1</x:v>
      </x:c>
      <x:c r="X48" s="9" t="s">
        <x:v>1</x:v>
      </x:c>
      <x:c r="Y48" s="9" t="s">
        <x:v>55</x:v>
      </x:c>
    </x:row>
    <x:row r="49" ht="25" customHeight="1">
      <x:c r="A49" s="9" t="s">
        <x:v>474</x:v>
      </x:c>
      <x:c r="B49" s="9" t="s">
        <x:v>164</x:v>
      </x:c>
      <x:c r="C49" s="9" t="s">
        <x:v>283</x:v>
      </x:c>
      <x:c r="D49" s="9" t="s">
        <x:v>475</x:v>
      </x:c>
      <x:c r="E49" s="9" t="s">
        <x:v>439</x:v>
      </x:c>
      <x:c r="F49" s="9" t="s">
        <x:v>61</x:v>
      </x:c>
      <x:c r="G49" s="9" t="s">
        <x:v>476</x:v>
      </x:c>
      <x:c r="H49" s="9" t="s">
        <x:v>118</x:v>
      </x:c>
      <x:c r="I49" s="9" t="s">
        <x:v>47</x:v>
      </x:c>
      <x:c r="J49" s="9" t="s">
        <x:v>1</x:v>
      </x:c>
      <x:c r="K49" s="9" t="s">
        <x:v>477</x:v>
      </x:c>
      <x:c r="L49" s="9" t="s">
        <x:v>478</x:v>
      </x:c>
      <x:c r="M49" s="9" t="s">
        <x:v>479</x:v>
      </x:c>
      <x:c r="N49" s="9" t="s">
        <x:v>480</x:v>
      </x:c>
      <x:c r="O49" s="9" t="s">
        <x:v>52</x:v>
      </x:c>
      <x:c r="P49" s="9" t="s">
        <x:v>61</x:v>
      </x:c>
      <x:c r="Q49" s="9" t="s">
        <x:v>481</x:v>
      </x:c>
      <x:c r="R49" s="9" t="s">
        <x:v>1</x:v>
      </x:c>
      <x:c r="S49" s="9" t="s">
        <x:v>1</x:v>
      </x:c>
      <x:c r="T49" s="9" t="s">
        <x:v>1</x:v>
      </x:c>
      <x:c r="U49" s="9" t="s">
        <x:v>55</x:v>
      </x:c>
      <x:c r="V49" s="9" t="s">
        <x:v>55</x:v>
      </x:c>
      <x:c r="W49" s="9" t="s">
        <x:v>1</x:v>
      </x:c>
      <x:c r="X49" s="9" t="s">
        <x:v>1</x:v>
      </x:c>
      <x:c r="Y49" s="9" t="s">
        <x:v>55</x:v>
      </x:c>
    </x:row>
    <x:row r="50" ht="25" customHeight="1">
      <x:c r="A50" s="9" t="s">
        <x:v>482</x:v>
      </x:c>
      <x:c r="B50" s="9" t="s">
        <x:v>265</x:v>
      </x:c>
      <x:c r="C50" s="9" t="s">
        <x:v>283</x:v>
      </x:c>
      <x:c r="D50" s="9" t="s">
        <x:v>475</x:v>
      </x:c>
      <x:c r="E50" s="9" t="s">
        <x:v>483</x:v>
      </x:c>
      <x:c r="F50" s="9" t="s">
        <x:v>61</x:v>
      </x:c>
      <x:c r="G50" s="9" t="s">
        <x:v>484</x:v>
      </x:c>
      <x:c r="H50" s="9" t="s">
        <x:v>385</x:v>
      </x:c>
      <x:c r="I50" s="9" t="s">
        <x:v>47</x:v>
      </x:c>
      <x:c r="J50" s="9" t="s">
        <x:v>1</x:v>
      </x:c>
      <x:c r="K50" s="9" t="s">
        <x:v>485</x:v>
      </x:c>
      <x:c r="L50" s="9" t="s">
        <x:v>486</x:v>
      </x:c>
      <x:c r="M50" s="9" t="s">
        <x:v>487</x:v>
      </x:c>
      <x:c r="N50" s="9" t="s">
        <x:v>488</x:v>
      </x:c>
      <x:c r="O50" s="9" t="s">
        <x:v>337</x:v>
      </x:c>
      <x:c r="P50" s="9" t="s">
        <x:v>66</x:v>
      </x:c>
      <x:c r="Q50" s="9" t="s">
        <x:v>489</x:v>
      </x:c>
      <x:c r="R50" s="9" t="s">
        <x:v>1</x:v>
      </x:c>
      <x:c r="S50" s="9" t="s">
        <x:v>1</x:v>
      </x:c>
      <x:c r="T50" s="9" t="s">
        <x:v>1</x:v>
      </x:c>
      <x:c r="U50" s="9" t="s">
        <x:v>55</x:v>
      </x:c>
      <x:c r="V50" s="9" t="s">
        <x:v>55</x:v>
      </x:c>
      <x:c r="W50" s="9" t="s">
        <x:v>490</x:v>
      </x:c>
      <x:c r="X50" s="9" t="s">
        <x:v>1</x:v>
      </x:c>
      <x:c r="Y50" s="9" t="s">
        <x:v>55</x:v>
      </x:c>
    </x:row>
    <x:row r="51" ht="25" customHeight="1">
      <x:c r="A51" s="9" t="s">
        <x:v>491</x:v>
      </x:c>
      <x:c r="B51" s="9" t="s">
        <x:v>397</x:v>
      </x:c>
      <x:c r="C51" s="9" t="s">
        <x:v>283</x:v>
      </x:c>
      <x:c r="D51" s="9" t="s">
        <x:v>492</x:v>
      </x:c>
      <x:c r="E51" s="9" t="s">
        <x:v>493</x:v>
      </x:c>
      <x:c r="F51" s="9" t="s">
        <x:v>11</x:v>
      </x:c>
      <x:c r="G51" s="9" t="s">
        <x:v>494</x:v>
      </x:c>
      <x:c r="H51" s="9" t="s">
        <x:v>385</x:v>
      </x:c>
      <x:c r="I51" s="9" t="s">
        <x:v>47</x:v>
      </x:c>
      <x:c r="J51" s="9" t="s">
        <x:v>1</x:v>
      </x:c>
      <x:c r="K51" s="9" t="s">
        <x:v>495</x:v>
      </x:c>
      <x:c r="L51" s="9" t="s">
        <x:v>496</x:v>
      </x:c>
      <x:c r="M51" s="9" t="s">
        <x:v>497</x:v>
      </x:c>
      <x:c r="N51" s="9" t="s">
        <x:v>498</x:v>
      </x:c>
      <x:c r="O51" s="9" t="s">
        <x:v>52</x:v>
      </x:c>
      <x:c r="P51" s="9" t="s">
        <x:v>53</x:v>
      </x:c>
      <x:c r="Q51" s="9" t="s">
        <x:v>445</x:v>
      </x:c>
      <x:c r="R51" s="9" t="s">
        <x:v>1</x:v>
      </x:c>
      <x:c r="S51" s="9" t="s">
        <x:v>1</x:v>
      </x:c>
      <x:c r="T51" s="9" t="s">
        <x:v>1</x:v>
      </x:c>
      <x:c r="U51" s="9" t="s">
        <x:v>55</x:v>
      </x:c>
      <x:c r="V51" s="9" t="s">
        <x:v>55</x:v>
      </x:c>
      <x:c r="W51" s="9" t="s">
        <x:v>1</x:v>
      </x:c>
      <x:c r="X51" s="9" t="s">
        <x:v>1</x:v>
      </x:c>
      <x:c r="Y51" s="9" t="s">
        <x:v>55</x:v>
      </x:c>
    </x:row>
    <x:row r="52" ht="25" customHeight="1">
      <x:c r="A52" s="9" t="s">
        <x:v>499</x:v>
      </x:c>
      <x:c r="B52" s="9" t="s">
        <x:v>97</x:v>
      </x:c>
      <x:c r="C52" s="9" t="s">
        <x:v>283</x:v>
      </x:c>
      <x:c r="D52" s="9" t="s">
        <x:v>500</x:v>
      </x:c>
      <x:c r="E52" s="9" t="s">
        <x:v>501</x:v>
      </x:c>
      <x:c r="F52" s="9" t="s">
        <x:v>11</x:v>
      </x:c>
      <x:c r="G52" s="9" t="s">
        <x:v>502</x:v>
      </x:c>
      <x:c r="H52" s="9" t="s">
        <x:v>385</x:v>
      </x:c>
      <x:c r="I52" s="9" t="s">
        <x:v>47</x:v>
      </x:c>
      <x:c r="J52" s="9" t="s">
        <x:v>1</x:v>
      </x:c>
      <x:c r="K52" s="9" t="s">
        <x:v>503</x:v>
      </x:c>
      <x:c r="L52" s="9" t="s">
        <x:v>504</x:v>
      </x:c>
      <x:c r="M52" s="9" t="s">
        <x:v>505</x:v>
      </x:c>
      <x:c r="N52" s="9" t="s">
        <x:v>506</x:v>
      </x:c>
      <x:c r="O52" s="9" t="s">
        <x:v>52</x:v>
      </x:c>
      <x:c r="P52" s="9" t="s">
        <x:v>53</x:v>
      </x:c>
      <x:c r="Q52" s="9" t="s">
        <x:v>445</x:v>
      </x:c>
      <x:c r="R52" s="9" t="s">
        <x:v>1</x:v>
      </x:c>
      <x:c r="S52" s="9" t="s">
        <x:v>1</x:v>
      </x:c>
      <x:c r="T52" s="9" t="s">
        <x:v>1</x:v>
      </x:c>
      <x:c r="U52" s="9" t="s">
        <x:v>55</x:v>
      </x:c>
      <x:c r="V52" s="9" t="s">
        <x:v>55</x:v>
      </x:c>
      <x:c r="W52" s="9" t="s">
        <x:v>1</x:v>
      </x:c>
      <x:c r="X52" s="9" t="s">
        <x:v>1</x:v>
      </x:c>
      <x:c r="Y52" s="9" t="s">
        <x:v>55</x:v>
      </x:c>
    </x:row>
    <x:row r="53" ht="25" customHeight="1">
      <x:c r="A53" s="9" t="s">
        <x:v>507</x:v>
      </x:c>
      <x:c r="B53" s="9" t="s">
        <x:v>237</x:v>
      </x:c>
      <x:c r="C53" s="9" t="s">
        <x:v>283</x:v>
      </x:c>
      <x:c r="D53" s="9" t="s">
        <x:v>500</x:v>
      </x:c>
      <x:c r="E53" s="9" t="s">
        <x:v>508</x:v>
      </x:c>
      <x:c r="F53" s="9" t="s">
        <x:v>11</x:v>
      </x:c>
      <x:c r="G53" s="9" t="s">
        <x:v>502</x:v>
      </x:c>
      <x:c r="H53" s="9" t="s">
        <x:v>385</x:v>
      </x:c>
      <x:c r="I53" s="9" t="s">
        <x:v>47</x:v>
      </x:c>
      <x:c r="J53" s="9" t="s">
        <x:v>1</x:v>
      </x:c>
      <x:c r="K53" s="9" t="s">
        <x:v>509</x:v>
      </x:c>
      <x:c r="L53" s="9" t="s">
        <x:v>510</x:v>
      </x:c>
      <x:c r="M53" s="9" t="s">
        <x:v>511</x:v>
      </x:c>
      <x:c r="N53" s="9" t="s">
        <x:v>512</x:v>
      </x:c>
      <x:c r="O53" s="9" t="s">
        <x:v>52</x:v>
      </x:c>
      <x:c r="P53" s="9" t="s">
        <x:v>53</x:v>
      </x:c>
      <x:c r="Q53" s="9" t="s">
        <x:v>445</x:v>
      </x:c>
      <x:c r="R53" s="9" t="s">
        <x:v>1</x:v>
      </x:c>
      <x:c r="S53" s="9" t="s">
        <x:v>1</x:v>
      </x:c>
      <x:c r="T53" s="9" t="s">
        <x:v>1</x:v>
      </x:c>
      <x:c r="U53" s="9" t="s">
        <x:v>55</x:v>
      </x:c>
      <x:c r="V53" s="9" t="s">
        <x:v>55</x:v>
      </x:c>
      <x:c r="W53" s="9" t="s">
        <x:v>1</x:v>
      </x:c>
      <x:c r="X53" s="9" t="s">
        <x:v>1</x:v>
      </x:c>
      <x:c r="Y53" s="9" t="s">
        <x:v>55</x:v>
      </x:c>
    </x:row>
    <x:row r="54" ht="25" customHeight="1">
      <x:c r="A54" s="9" t="s">
        <x:v>513</x:v>
      </x:c>
      <x:c r="B54" s="9" t="s">
        <x:v>397</x:v>
      </x:c>
      <x:c r="C54" s="9" t="s">
        <x:v>363</x:v>
      </x:c>
      <x:c r="D54" s="9" t="s">
        <x:v>514</x:v>
      </x:c>
      <x:c r="E54" s="9" t="s">
        <x:v>515</x:v>
      </x:c>
      <x:c r="F54" s="9" t="s">
        <x:v>516</x:v>
      </x:c>
      <x:c r="G54" s="9" t="s">
        <x:v>229</x:v>
      </x:c>
      <x:c r="H54" s="9" t="s">
        <x:v>517</x:v>
      </x:c>
      <x:c r="I54" s="9" t="s">
        <x:v>47</x:v>
      </x:c>
      <x:c r="J54" s="9" t="s">
        <x:v>1</x:v>
      </x:c>
      <x:c r="K54" s="9" t="s">
        <x:v>518</x:v>
      </x:c>
      <x:c r="L54" s="9" t="s">
        <x:v>519</x:v>
      </x:c>
      <x:c r="M54" s="9" t="s">
        <x:v>519</x:v>
      </x:c>
      <x:c r="N54" s="9" t="s">
        <x:v>520</x:v>
      </x:c>
      <x:c r="O54" s="9" t="s">
        <x:v>52</x:v>
      </x:c>
      <x:c r="P54" s="9" t="s">
        <x:v>521</x:v>
      </x:c>
      <x:c r="Q54" s="9" t="s">
        <x:v>522</x:v>
      </x:c>
      <x:c r="R54" s="9" t="s">
        <x:v>1</x:v>
      </x:c>
      <x:c r="S54" s="9" t="s">
        <x:v>1</x:v>
      </x:c>
      <x:c r="T54" s="9" t="s">
        <x:v>1</x:v>
      </x:c>
      <x:c r="U54" s="9" t="s">
        <x:v>55</x:v>
      </x:c>
      <x:c r="V54" s="9" t="s">
        <x:v>55</x:v>
      </x:c>
      <x:c r="W54" s="9" t="s">
        <x:v>523</x:v>
      </x:c>
      <x:c r="X54" s="9" t="s">
        <x:v>1</x:v>
      </x:c>
      <x:c r="Y54" s="9" t="s">
        <x:v>156</x:v>
      </x:c>
    </x:row>
    <x:row r="55" ht="25" customHeight="1">
      <x:c r="A55" s="9" t="s">
        <x:v>524</x:v>
      </x:c>
      <x:c r="B55" s="9" t="s">
        <x:v>397</x:v>
      </x:c>
      <x:c r="C55" s="9" t="s">
        <x:v>363</x:v>
      </x:c>
      <x:c r="D55" s="9" t="s">
        <x:v>514</x:v>
      </x:c>
      <x:c r="E55" s="9" t="s">
        <x:v>525</x:v>
      </x:c>
      <x:c r="F55" s="9" t="s">
        <x:v>516</x:v>
      </x:c>
      <x:c r="G55" s="9" t="s">
        <x:v>229</x:v>
      </x:c>
      <x:c r="H55" s="9" t="s">
        <x:v>517</x:v>
      </x:c>
      <x:c r="I55" s="9" t="s">
        <x:v>47</x:v>
      </x:c>
      <x:c r="J55" s="9" t="s">
        <x:v>1</x:v>
      </x:c>
      <x:c r="K55" s="9" t="s">
        <x:v>526</x:v>
      </x:c>
      <x:c r="L55" s="9" t="s">
        <x:v>527</x:v>
      </x:c>
      <x:c r="M55" s="9" t="s">
        <x:v>528</x:v>
      </x:c>
      <x:c r="N55" s="9" t="s">
        <x:v>520</x:v>
      </x:c>
      <x:c r="O55" s="9" t="s">
        <x:v>52</x:v>
      </x:c>
      <x:c r="P55" s="9" t="s">
        <x:v>529</x:v>
      </x:c>
      <x:c r="Q55" s="9" t="s">
        <x:v>522</x:v>
      </x:c>
      <x:c r="R55" s="9" t="s">
        <x:v>1</x:v>
      </x:c>
      <x:c r="S55" s="9" t="s">
        <x:v>1</x:v>
      </x:c>
      <x:c r="T55" s="9" t="s">
        <x:v>1</x:v>
      </x:c>
      <x:c r="U55" s="9" t="s">
        <x:v>55</x:v>
      </x:c>
      <x:c r="V55" s="9" t="s">
        <x:v>55</x:v>
      </x:c>
      <x:c r="W55" s="9" t="s">
        <x:v>530</x:v>
      </x:c>
      <x:c r="X55" s="9" t="s">
        <x:v>1</x:v>
      </x:c>
      <x:c r="Y55" s="9" t="s">
        <x:v>156</x:v>
      </x:c>
    </x:row>
    <x:row r="56" ht="25" customHeight="1">
      <x:c r="A56" s="9" t="s">
        <x:v>531</x:v>
      </x:c>
      <x:c r="B56" s="9" t="s">
        <x:v>164</x:v>
      </x:c>
      <x:c r="C56" s="9" t="s">
        <x:v>363</x:v>
      </x:c>
      <x:c r="D56" s="9" t="s">
        <x:v>532</x:v>
      </x:c>
      <x:c r="E56" s="9" t="s">
        <x:v>533</x:v>
      </x:c>
      <x:c r="F56" s="9" t="s">
        <x:v>516</x:v>
      </x:c>
      <x:c r="G56" s="9" t="s">
        <x:v>229</x:v>
      </x:c>
      <x:c r="H56" s="9" t="s">
        <x:v>517</x:v>
      </x:c>
      <x:c r="I56" s="9" t="s">
        <x:v>47</x:v>
      </x:c>
      <x:c r="J56" s="9" t="s">
        <x:v>1</x:v>
      </x:c>
      <x:c r="K56" s="9" t="s">
        <x:v>534</x:v>
      </x:c>
      <x:c r="L56" s="9" t="s">
        <x:v>535</x:v>
      </x:c>
      <x:c r="M56" s="9" t="s">
        <x:v>535</x:v>
      </x:c>
      <x:c r="N56" s="9" t="s">
        <x:v>536</x:v>
      </x:c>
      <x:c r="O56" s="9" t="s">
        <x:v>52</x:v>
      </x:c>
      <x:c r="P56" s="9" t="s">
        <x:v>338</x:v>
      </x:c>
      <x:c r="Q56" s="9" t="s">
        <x:v>537</x:v>
      </x:c>
      <x:c r="R56" s="9" t="s">
        <x:v>1</x:v>
      </x:c>
      <x:c r="S56" s="9" t="s">
        <x:v>1</x:v>
      </x:c>
      <x:c r="T56" s="9" t="s">
        <x:v>1</x:v>
      </x:c>
      <x:c r="U56" s="9" t="s">
        <x:v>55</x:v>
      </x:c>
      <x:c r="V56" s="9" t="s">
        <x:v>55</x:v>
      </x:c>
      <x:c r="W56" s="9" t="s">
        <x:v>538</x:v>
      </x:c>
      <x:c r="X56" s="9" t="s">
        <x:v>1</x:v>
      </x:c>
      <x:c r="Y56" s="9" t="s">
        <x:v>156</x:v>
      </x:c>
    </x:row>
    <x:row r="57" ht="25" customHeight="1">
      <x:c r="A57" s="9" t="s">
        <x:v>539</x:v>
      </x:c>
      <x:c r="B57" s="9" t="s">
        <x:v>540</x:v>
      </x:c>
      <x:c r="C57" s="9" t="s">
        <x:v>363</x:v>
      </x:c>
      <x:c r="D57" s="9" t="s">
        <x:v>541</x:v>
      </x:c>
      <x:c r="E57" s="9" t="s">
        <x:v>542</x:v>
      </x:c>
      <x:c r="F57" s="9" t="s">
        <x:v>516</x:v>
      </x:c>
      <x:c r="G57" s="9" t="s">
        <x:v>229</x:v>
      </x:c>
      <x:c r="H57" s="9" t="s">
        <x:v>517</x:v>
      </x:c>
      <x:c r="I57" s="9" t="s">
        <x:v>47</x:v>
      </x:c>
      <x:c r="J57" s="9" t="s">
        <x:v>1</x:v>
      </x:c>
      <x:c r="K57" s="9" t="s">
        <x:v>543</x:v>
      </x:c>
      <x:c r="L57" s="9" t="s">
        <x:v>544</x:v>
      </x:c>
      <x:c r="M57" s="9" t="s">
        <x:v>544</x:v>
      </x:c>
      <x:c r="N57" s="9" t="s">
        <x:v>545</x:v>
      </x:c>
      <x:c r="O57" s="9" t="s">
        <x:v>52</x:v>
      </x:c>
      <x:c r="P57" s="9" t="s">
        <x:v>153</x:v>
      </x:c>
      <x:c r="Q57" s="9" t="s">
        <x:v>546</x:v>
      </x:c>
      <x:c r="R57" s="9" t="s">
        <x:v>1</x:v>
      </x:c>
      <x:c r="S57" s="9" t="s">
        <x:v>1</x:v>
      </x:c>
      <x:c r="T57" s="9" t="s">
        <x:v>1</x:v>
      </x:c>
      <x:c r="U57" s="9" t="s">
        <x:v>55</x:v>
      </x:c>
      <x:c r="V57" s="9" t="s">
        <x:v>55</x:v>
      </x:c>
      <x:c r="W57" s="9" t="s">
        <x:v>1</x:v>
      </x:c>
      <x:c r="X57" s="9" t="s">
        <x:v>1</x:v>
      </x:c>
      <x:c r="Y57" s="9" t="s">
        <x:v>156</x:v>
      </x:c>
    </x:row>
    <x:row r="58" ht="25" customHeight="1">
      <x:c r="A58" s="9" t="s">
        <x:v>547</x:v>
      </x:c>
      <x:c r="B58" s="9" t="s">
        <x:v>41</x:v>
      </x:c>
      <x:c r="C58" s="9" t="s">
        <x:v>363</x:v>
      </x:c>
      <x:c r="D58" s="9" t="s">
        <x:v>541</x:v>
      </x:c>
      <x:c r="E58" s="9" t="s">
        <x:v>542</x:v>
      </x:c>
      <x:c r="F58" s="9" t="s">
        <x:v>516</x:v>
      </x:c>
      <x:c r="G58" s="9" t="s">
        <x:v>229</x:v>
      </x:c>
      <x:c r="H58" s="9" t="s">
        <x:v>517</x:v>
      </x:c>
      <x:c r="I58" s="9" t="s">
        <x:v>47</x:v>
      </x:c>
      <x:c r="J58" s="9" t="s">
        <x:v>1</x:v>
      </x:c>
      <x:c r="K58" s="9" t="s">
        <x:v>548</x:v>
      </x:c>
      <x:c r="L58" s="9" t="s">
        <x:v>549</x:v>
      </x:c>
      <x:c r="M58" s="9" t="s">
        <x:v>549</x:v>
      </x:c>
      <x:c r="N58" s="9" t="s">
        <x:v>550</x:v>
      </x:c>
      <x:c r="O58" s="9" t="s">
        <x:v>52</x:v>
      </x:c>
      <x:c r="P58" s="9" t="s">
        <x:v>153</x:v>
      </x:c>
      <x:c r="Q58" s="9" t="s">
        <x:v>551</x:v>
      </x:c>
      <x:c r="R58" s="9" t="s">
        <x:v>1</x:v>
      </x:c>
      <x:c r="S58" s="9" t="s">
        <x:v>1</x:v>
      </x:c>
      <x:c r="T58" s="9" t="s">
        <x:v>1</x:v>
      </x:c>
      <x:c r="U58" s="9" t="s">
        <x:v>55</x:v>
      </x:c>
      <x:c r="V58" s="9" t="s">
        <x:v>55</x:v>
      </x:c>
      <x:c r="W58" s="9" t="s">
        <x:v>1</x:v>
      </x:c>
      <x:c r="X58" s="9" t="s">
        <x:v>1</x:v>
      </x:c>
      <x:c r="Y58" s="9" t="s">
        <x:v>156</x:v>
      </x:c>
    </x:row>
    <x:row r="59" ht="25" customHeight="1">
      <x:c r="A59" s="9" t="s">
        <x:v>552</x:v>
      </x:c>
      <x:c r="B59" s="9" t="s">
        <x:v>41</x:v>
      </x:c>
      <x:c r="C59" s="9" t="s">
        <x:v>363</x:v>
      </x:c>
      <x:c r="D59" s="9" t="s">
        <x:v>541</x:v>
      </x:c>
      <x:c r="E59" s="9" t="s">
        <x:v>542</x:v>
      </x:c>
      <x:c r="F59" s="9" t="s">
        <x:v>516</x:v>
      </x:c>
      <x:c r="G59" s="9" t="s">
        <x:v>229</x:v>
      </x:c>
      <x:c r="H59" s="9" t="s">
        <x:v>517</x:v>
      </x:c>
      <x:c r="I59" s="9" t="s">
        <x:v>47</x:v>
      </x:c>
      <x:c r="J59" s="9" t="s">
        <x:v>1</x:v>
      </x:c>
      <x:c r="K59" s="9" t="s">
        <x:v>553</x:v>
      </x:c>
      <x:c r="L59" s="9" t="s">
        <x:v>554</x:v>
      </x:c>
      <x:c r="M59" s="9" t="s">
        <x:v>554</x:v>
      </x:c>
      <x:c r="N59" s="9" t="s">
        <x:v>550</x:v>
      </x:c>
      <x:c r="O59" s="9" t="s">
        <x:v>52</x:v>
      </x:c>
      <x:c r="P59" s="9" t="s">
        <x:v>153</x:v>
      </x:c>
      <x:c r="Q59" s="9" t="s">
        <x:v>546</x:v>
      </x:c>
      <x:c r="R59" s="9" t="s">
        <x:v>1</x:v>
      </x:c>
      <x:c r="S59" s="9" t="s">
        <x:v>1</x:v>
      </x:c>
      <x:c r="T59" s="9" t="s">
        <x:v>1</x:v>
      </x:c>
      <x:c r="U59" s="9" t="s">
        <x:v>55</x:v>
      </x:c>
      <x:c r="V59" s="9" t="s">
        <x:v>55</x:v>
      </x:c>
      <x:c r="W59" s="9" t="s">
        <x:v>1</x:v>
      </x:c>
      <x:c r="X59" s="9" t="s">
        <x:v>1</x:v>
      </x:c>
      <x:c r="Y59" s="9" t="s">
        <x:v>156</x:v>
      </x:c>
    </x:row>
    <x:row r="60" ht="25" customHeight="1">
      <x:c r="A60" s="9" t="s">
        <x:v>555</x:v>
      </x:c>
      <x:c r="B60" s="9" t="s">
        <x:v>164</x:v>
      </x:c>
      <x:c r="C60" s="9" t="s">
        <x:v>363</x:v>
      </x:c>
      <x:c r="D60" s="9" t="s">
        <x:v>541</x:v>
      </x:c>
      <x:c r="E60" s="9" t="s">
        <x:v>556</x:v>
      </x:c>
      <x:c r="F60" s="9" t="s">
        <x:v>516</x:v>
      </x:c>
      <x:c r="G60" s="9" t="s">
        <x:v>229</x:v>
      </x:c>
      <x:c r="H60" s="9" t="s">
        <x:v>517</x:v>
      </x:c>
      <x:c r="I60" s="9" t="s">
        <x:v>47</x:v>
      </x:c>
      <x:c r="J60" s="9" t="s">
        <x:v>1</x:v>
      </x:c>
      <x:c r="K60" s="9" t="s">
        <x:v>557</x:v>
      </x:c>
      <x:c r="L60" s="9" t="s">
        <x:v>558</x:v>
      </x:c>
      <x:c r="M60" s="9" t="s">
        <x:v>558</x:v>
      </x:c>
      <x:c r="N60" s="9" t="s">
        <x:v>559</x:v>
      </x:c>
      <x:c r="O60" s="9" t="s">
        <x:v>52</x:v>
      </x:c>
      <x:c r="P60" s="9" t="s">
        <x:v>153</x:v>
      </x:c>
      <x:c r="Q60" s="9" t="s">
        <x:v>560</x:v>
      </x:c>
      <x:c r="R60" s="9" t="s">
        <x:v>1</x:v>
      </x:c>
      <x:c r="S60" s="9" t="s">
        <x:v>1</x:v>
      </x:c>
      <x:c r="T60" s="9" t="s">
        <x:v>1</x:v>
      </x:c>
      <x:c r="U60" s="9" t="s">
        <x:v>55</x:v>
      </x:c>
      <x:c r="V60" s="9" t="s">
        <x:v>55</x:v>
      </x:c>
      <x:c r="W60" s="9" t="s">
        <x:v>1</x:v>
      </x:c>
      <x:c r="X60" s="9" t="s">
        <x:v>1</x:v>
      </x:c>
      <x:c r="Y60" s="9" t="s">
        <x:v>156</x:v>
      </x:c>
    </x:row>
    <x:row r="61" ht="25" customHeight="1">
      <x:c r="A61" s="9" t="s">
        <x:v>561</x:v>
      </x:c>
      <x:c r="B61" s="9" t="s">
        <x:v>205</x:v>
      </x:c>
      <x:c r="C61" s="9" t="s">
        <x:v>363</x:v>
      </x:c>
      <x:c r="D61" s="9" t="s">
        <x:v>541</x:v>
      </x:c>
      <x:c r="E61" s="9" t="s">
        <x:v>562</x:v>
      </x:c>
      <x:c r="F61" s="9" t="s">
        <x:v>516</x:v>
      </x:c>
      <x:c r="G61" s="9" t="s">
        <x:v>229</x:v>
      </x:c>
      <x:c r="H61" s="9" t="s">
        <x:v>517</x:v>
      </x:c>
      <x:c r="I61" s="9" t="s">
        <x:v>47</x:v>
      </x:c>
      <x:c r="J61" s="9" t="s">
        <x:v>1</x:v>
      </x:c>
      <x:c r="K61" s="9" t="s">
        <x:v>563</x:v>
      </x:c>
      <x:c r="L61" s="9" t="s">
        <x:v>564</x:v>
      </x:c>
      <x:c r="M61" s="9" t="s">
        <x:v>564</x:v>
      </x:c>
      <x:c r="N61" s="9" t="s">
        <x:v>565</x:v>
      </x:c>
      <x:c r="O61" s="9" t="s">
        <x:v>52</x:v>
      </x:c>
      <x:c r="P61" s="9" t="s">
        <x:v>153</x:v>
      </x:c>
      <x:c r="Q61" s="9" t="s">
        <x:v>566</x:v>
      </x:c>
      <x:c r="R61" s="9" t="s">
        <x:v>1</x:v>
      </x:c>
      <x:c r="S61" s="9" t="s">
        <x:v>1</x:v>
      </x:c>
      <x:c r="T61" s="9" t="s">
        <x:v>1</x:v>
      </x:c>
      <x:c r="U61" s="9" t="s">
        <x:v>55</x:v>
      </x:c>
      <x:c r="V61" s="9" t="s">
        <x:v>55</x:v>
      </x:c>
      <x:c r="W61" s="9" t="s">
        <x:v>1</x:v>
      </x:c>
      <x:c r="X61" s="9" t="s">
        <x:v>1</x:v>
      </x:c>
      <x:c r="Y61" s="9" t="s">
        <x:v>156</x:v>
      </x:c>
    </x:row>
    <x:row r="62" ht="25" customHeight="1">
      <x:c r="A62" s="9" t="s">
        <x:v>567</x:v>
      </x:c>
      <x:c r="B62" s="9" t="s">
        <x:v>164</x:v>
      </x:c>
      <x:c r="C62" s="9" t="s">
        <x:v>363</x:v>
      </x:c>
      <x:c r="D62" s="9" t="s">
        <x:v>541</x:v>
      </x:c>
      <x:c r="E62" s="9" t="s">
        <x:v>568</x:v>
      </x:c>
      <x:c r="F62" s="9" t="s">
        <x:v>516</x:v>
      </x:c>
      <x:c r="G62" s="9" t="s">
        <x:v>229</x:v>
      </x:c>
      <x:c r="H62" s="9" t="s">
        <x:v>517</x:v>
      </x:c>
      <x:c r="I62" s="9" t="s">
        <x:v>47</x:v>
      </x:c>
      <x:c r="J62" s="9" t="s">
        <x:v>1</x:v>
      </x:c>
      <x:c r="K62" s="9" t="s">
        <x:v>569</x:v>
      </x:c>
      <x:c r="L62" s="9" t="s">
        <x:v>570</x:v>
      </x:c>
      <x:c r="M62" s="9" t="s">
        <x:v>570</x:v>
      </x:c>
      <x:c r="N62" s="9" t="s">
        <x:v>559</x:v>
      </x:c>
      <x:c r="O62" s="9" t="s">
        <x:v>52</x:v>
      </x:c>
      <x:c r="P62" s="9" t="s">
        <x:v>153</x:v>
      </x:c>
      <x:c r="Q62" s="9" t="s">
        <x:v>571</x:v>
      </x:c>
      <x:c r="R62" s="9" t="s">
        <x:v>1</x:v>
      </x:c>
      <x:c r="S62" s="9" t="s">
        <x:v>1</x:v>
      </x:c>
      <x:c r="T62" s="9" t="s">
        <x:v>1</x:v>
      </x:c>
      <x:c r="U62" s="9" t="s">
        <x:v>55</x:v>
      </x:c>
      <x:c r="V62" s="9" t="s">
        <x:v>55</x:v>
      </x:c>
      <x:c r="W62" s="9" t="s">
        <x:v>1</x:v>
      </x:c>
      <x:c r="X62" s="9" t="s">
        <x:v>1</x:v>
      </x:c>
      <x:c r="Y62" s="9" t="s">
        <x:v>156</x:v>
      </x:c>
    </x:row>
    <x:row r="63" ht="25" customHeight="1">
      <x:c r="A63" s="9" t="s">
        <x:v>572</x:v>
      </x:c>
      <x:c r="B63" s="9" t="s">
        <x:v>540</x:v>
      </x:c>
      <x:c r="C63" s="9" t="s">
        <x:v>363</x:v>
      </x:c>
      <x:c r="D63" s="9" t="s">
        <x:v>541</x:v>
      </x:c>
      <x:c r="E63" s="9" t="s">
        <x:v>573</x:v>
      </x:c>
      <x:c r="F63" s="9" t="s">
        <x:v>516</x:v>
      </x:c>
      <x:c r="G63" s="9" t="s">
        <x:v>229</x:v>
      </x:c>
      <x:c r="H63" s="9" t="s">
        <x:v>517</x:v>
      </x:c>
      <x:c r="I63" s="9" t="s">
        <x:v>47</x:v>
      </x:c>
      <x:c r="J63" s="9" t="s">
        <x:v>1</x:v>
      </x:c>
      <x:c r="K63" s="9" t="s">
        <x:v>574</x:v>
      </x:c>
      <x:c r="L63" s="9" t="s">
        <x:v>575</x:v>
      </x:c>
      <x:c r="M63" s="9" t="s">
        <x:v>575</x:v>
      </x:c>
      <x:c r="N63" s="9" t="s">
        <x:v>545</x:v>
      </x:c>
      <x:c r="O63" s="9" t="s">
        <x:v>52</x:v>
      </x:c>
      <x:c r="P63" s="9" t="s">
        <x:v>153</x:v>
      </x:c>
      <x:c r="Q63" s="9" t="s">
        <x:v>576</x:v>
      </x:c>
      <x:c r="R63" s="9" t="s">
        <x:v>1</x:v>
      </x:c>
      <x:c r="S63" s="9" t="s">
        <x:v>1</x:v>
      </x:c>
      <x:c r="T63" s="9" t="s">
        <x:v>1</x:v>
      </x:c>
      <x:c r="U63" s="9" t="s">
        <x:v>55</x:v>
      </x:c>
      <x:c r="V63" s="9" t="s">
        <x:v>55</x:v>
      </x:c>
      <x:c r="W63" s="9" t="s">
        <x:v>1</x:v>
      </x:c>
      <x:c r="X63" s="9" t="s">
        <x:v>1</x:v>
      </x:c>
      <x:c r="Y63" s="9" t="s">
        <x:v>156</x:v>
      </x:c>
    </x:row>
    <x:row r="64" ht="25" customHeight="1">
      <x:c r="A64" s="9" t="s">
        <x:v>577</x:v>
      </x:c>
      <x:c r="B64" s="9" t="s">
        <x:v>578</x:v>
      </x:c>
      <x:c r="C64" s="9" t="s">
        <x:v>363</x:v>
      </x:c>
      <x:c r="D64" s="9" t="s">
        <x:v>541</x:v>
      </x:c>
      <x:c r="E64" s="9" t="s">
        <x:v>579</x:v>
      </x:c>
      <x:c r="F64" s="9" t="s">
        <x:v>516</x:v>
      </x:c>
      <x:c r="G64" s="9" t="s">
        <x:v>229</x:v>
      </x:c>
      <x:c r="H64" s="9" t="s">
        <x:v>517</x:v>
      </x:c>
      <x:c r="I64" s="9" t="s">
        <x:v>47</x:v>
      </x:c>
      <x:c r="J64" s="9" t="s">
        <x:v>1</x:v>
      </x:c>
      <x:c r="K64" s="9" t="s">
        <x:v>580</x:v>
      </x:c>
      <x:c r="L64" s="9" t="s">
        <x:v>581</x:v>
      </x:c>
      <x:c r="M64" s="9" t="s">
        <x:v>581</x:v>
      </x:c>
      <x:c r="N64" s="9" t="s">
        <x:v>582</x:v>
      </x:c>
      <x:c r="O64" s="9" t="s">
        <x:v>52</x:v>
      </x:c>
      <x:c r="P64" s="9" t="s">
        <x:v>338</x:v>
      </x:c>
      <x:c r="Q64" s="9" t="s">
        <x:v>583</x:v>
      </x:c>
      <x:c r="R64" s="9" t="s">
        <x:v>1</x:v>
      </x:c>
      <x:c r="S64" s="9" t="s">
        <x:v>1</x:v>
      </x:c>
      <x:c r="T64" s="9" t="s">
        <x:v>1</x:v>
      </x:c>
      <x:c r="U64" s="9" t="s">
        <x:v>55</x:v>
      </x:c>
      <x:c r="V64" s="9" t="s">
        <x:v>55</x:v>
      </x:c>
      <x:c r="W64" s="9" t="s">
        <x:v>584</x:v>
      </x:c>
      <x:c r="X64" s="9" t="s">
        <x:v>1</x:v>
      </x:c>
      <x:c r="Y64" s="9" t="s">
        <x:v>156</x:v>
      </x:c>
    </x:row>
    <x:row r="65">
      <x:c r="A65" s="11" t="str">
        <x:v>64</x:v>
      </x:c>
      <x:c r="B65" s="11" t="str">
        <x:v>2026-07-12</x:v>
      </x:c>
      <x:c r="C65" s="11" t="str">
        <x:v>原始网页</x:v>
      </x:c>
      <x:c r="D65" s="11" t="str">
        <x:v>B站</x:v>
      </x:c>
      <x:c r="E65" s="11" t="str">
        <x:v>咸鱼弟弟dd</x:v>
      </x:c>
      <x:c r="F65" s="11" t="str">
        <x:v>用户评论</x:v>
      </x:c>
      <x:c r="G65" s="11" t="str">
        <x:v>全国</x:v>
      </x:c>
      <x:c r="H65" s="11" t="str">
        <x:v>非地方行政</x:v>
      </x:c>
      <x:c r="I65" s="11" t="str">
        <x:v>中文</x:v>
      </x:c>
      <x:c r="J65" s="11" t="str">
        <x:v>1</x:v>
      </x:c>
      <x:c r="K65" s="11" t="str">
        <x:v>评论区：从描述来看感觉有点激进，希望后面的司法解释能够做得好，尽量瞄准正确的对象</x:v>
      </x:c>
      <x:c r="L65" s="11" t="str">
        <x:v>从描述来看感觉有点激进，希望后面的司法解释能够做得好，尽量瞄准正确的对象</x:v>
      </x:c>
      <x:c r="M65" s="11" t="str">
        <x:v>用户对法律执行和后续司法解释表达担忧，希望执法对象界定更准确。</x:v>
      </x:c>
      <x:c r="N65" s="11" t="str">
        <x:v>母视频具体链接待补（原文件仅留存“B站 2026-07-12”）</x:v>
      </x:c>
      <x:c r="O65" s="11" t="str">
        <x:v>A</x:v>
      </x:c>
      <x:c r="P65" s="11" t="str">
        <x:v>担忧影响</x:v>
      </x:c>
      <x:c r="Q65" s="11" t="str">
        <x:v>法律实施与执行</x:v>
      </x:c>
      <x:c r="R65" s="11" t="n">
        <x:v>1</x:v>
      </x:c>
      <x:c r="S65" s="11" t="n">
        <x:v>1</x:v>
      </x:c>
      <x:c r="T65" s="11" t="n">
        <x:v>1</x:v>
      </x:c>
      <x:c r="U65" s="11" t="str">
        <x:v>否</x:v>
      </x:c>
      <x:c r="V65" s="11" t="str">
        <x:v>是</x:v>
      </x:c>
      <x:c r="W65" s="11" t="str">
        <x:v>已根据原评论文本复核：该评论明确针对本法执行及后续司法解释表达担忧，应恢复计入公众统计。当前文件未保留母视频具体URL和截图，需补证。</x:v>
      </x:c>
      <x:c r="X65" s="11" t="str">
        <x:v>无</x:v>
      </x:c>
      <x:c r="Y65" s="11" t="str">
        <x:v>是</x:v>
      </x:c>
    </x:row>
    <x:row r="66">
      <x:c r="A66" s="11" t="str">
        <x:v>65</x:v>
      </x:c>
      <x:c r="B66" s="11" t="str">
        <x:v>2026-08-02</x:v>
      </x:c>
      <x:c r="C66" s="11" t="str">
        <x:v>原始网页</x:v>
      </x:c>
      <x:c r="D66" s="11" t="str">
        <x:v>小红书</x:v>
      </x:c>
      <x:c r="E66" s="11" t="str">
        <x:v>momo</x:v>
      </x:c>
      <x:c r="F66" s="11" t="str">
        <x:v>用户评论</x:v>
      </x:c>
      <x:c r="G66" s="11" t="str">
        <x:v>贵州</x:v>
      </x:c>
      <x:c r="H66" s="11" t="str">
        <x:v>省</x:v>
      </x:c>
      <x:c r="I66" s="11" t="str">
        <x:v>中文</x:v>
      </x:c>
      <x:c r="J66" s="11" t="str">
        <x:v>1</x:v>
      </x:c>
      <x:c r="K66" s="11" t="str">
        <x:v>评论区：要警惕近年来伊斯兰教在国内的野蛮生长</x:v>
      </x:c>
      <x:c r="L66" s="11" t="str">
        <x:v>要警惕近年来伊斯兰教在国内的野蛮生长</x:v>
      </x:c>
      <x:c r="M66" s="11" t="str">
        <x:v>用户批评对象为宗教极端化现象，并非直接批评本法；保留为其他/中性公众观点。</x:v>
      </x:c>
      <x:c r="N66" s="11" t="str">
        <x:v>母帖具体链接待补（原文件仅留存“小红书 2026-08-02”）</x:v>
      </x:c>
      <x:c r="O66" s="11" t="str">
        <x:v>B</x:v>
      </x:c>
      <x:c r="P66" s="11" t="str">
        <x:v>中性信息</x:v>
      </x:c>
      <x:c r="Q66" s="11" t="str">
        <x:v>宗教与民族团结</x:v>
      </x:c>
      <x:c r="R66" s="11" t="n">
        <x:v>1</x:v>
      </x:c>
      <x:c r="S66" s="11" t="n">
        <x:v>1</x:v>
      </x:c>
      <x:c r="T66" s="11" t="n">
        <x:v>1</x:v>
      </x:c>
      <x:c r="U66" s="11" t="str">
        <x:v>否</x:v>
      </x:c>
      <x:c r="V66" s="11" t="str">
        <x:v>是</x:v>
      </x:c>
      <x:c r="W66" s="11" t="str">
        <x:v>已复核：批评对象为宗教极端化现象，非直接批评本法；不再归为明确批评，恢复为中性信息。当前文件未留存母帖具体URL和截图，需补证。</x:v>
      </x:c>
      <x:c r="X66" s="11" t="str">
        <x:v>无</x:v>
      </x:c>
      <x:c r="Y66" s="11" t="str">
        <x:v>是</x:v>
      </x:c>
    </x:row>
  </x:sheetData>
  <x:pageMargins left="0.7" right="0.7" top="0.75" bottom="0.75" header="0.3" footer="0.3"/>
</x:worksheet>
</file>

<file path=xl/worksheets/sheet3.xml><?xml version="1.0" encoding="utf-8"?>
<x:worksheet xmlns:x="http://schemas.openxmlformats.org/spreadsheetml/2006/main">
  <x:sheetFormatPr defaultColWidth="9" defaultRowHeight="14"/>
  <x:cols>
    <x:col min="1" max="1" width="20" customWidth="1"/>
    <x:col min="2" max="2" width="30" customWidth="1"/>
    <x:col min="3" max="3" width="40" customWidth="1"/>
    <x:col min="4" max="4" width="18" customWidth="1"/>
    <x:col min="5" max="5" width="60" customWidth="1"/>
    <x:col min="6" max="6" width="50" customWidth="1"/>
    <x:col min="7" max="7" width="35" customWidth="1"/>
  </x:cols>
  <x:sheetData>
    <x:row r="1" ht="30" customHeight="1">
      <x:c r="A1" s="1" t="s">
        <x:v>257</x:v>
      </x:c>
      <x:c r="B1" s="1" t="s">
        <x:v>585</x:v>
      </x:c>
      <x:c r="C1" s="1" t="s">
        <x:v>586</x:v>
      </x:c>
      <x:c r="D1" s="1" t="s">
        <x:v>17</x:v>
      </x:c>
      <x:c r="E1" s="1" t="s">
        <x:v>587</x:v>
      </x:c>
      <x:c r="F1" s="1" t="s">
        <x:v>29</x:v>
      </x:c>
      <x:c r="G1" s="1" t="s">
        <x:v>588</x:v>
      </x:c>
    </x:row>
    <x:row r="2" ht="25" customHeight="1">
      <x:c r="A2" s="3" t="s">
        <x:v>45</x:v>
      </x:c>
      <x:c r="B2" s="3" t="s">
        <x:v>44</x:v>
      </x:c>
      <x:c r="C2" s="3" t="s">
        <x:v>48</x:v>
      </x:c>
      <x:c r="D2" s="3" t="s">
        <x:v>41</x:v>
      </x:c>
      <x:c r="E2" s="3" t="s">
        <x:v>589</x:v>
      </x:c>
      <x:c r="F2" s="3" t="s">
        <x:v>51</x:v>
      </x:c>
      <x:c r="G2" s="3" t="s">
        <x:v>590</x:v>
      </x:c>
    </x:row>
    <x:row r="3" ht="25" customHeight="1">
      <x:c r="A3" s="3" t="s">
        <x:v>45</x:v>
      </x:c>
      <x:c r="B3" s="3" t="s">
        <x:v>78</x:v>
      </x:c>
      <x:c r="C3" s="3" t="s">
        <x:v>591</x:v>
      </x:c>
      <x:c r="D3" s="3" t="s">
        <x:v>77</x:v>
      </x:c>
      <x:c r="E3" s="3" t="s">
        <x:v>81</x:v>
      </x:c>
      <x:c r="F3" s="3" t="s">
        <x:v>82</x:v>
      </x:c>
      <x:c r="G3" s="3" t="s">
        <x:v>590</x:v>
      </x:c>
    </x:row>
    <x:row r="4" ht="25" customHeight="1">
      <x:c r="A4" s="3" t="s">
        <x:v>45</x:v>
      </x:c>
      <x:c r="B4" s="3" t="s">
        <x:v>78</x:v>
      </x:c>
      <x:c r="C4" s="3" t="s">
        <x:v>89</x:v>
      </x:c>
      <x:c r="D4" s="3" t="s">
        <x:v>87</x:v>
      </x:c>
      <x:c r="E4" s="3" t="s">
        <x:v>592</x:v>
      </x:c>
      <x:c r="F4" s="3" t="s">
        <x:v>92</x:v>
      </x:c>
      <x:c r="G4" s="3" t="s">
        <x:v>590</x:v>
      </x:c>
    </x:row>
    <x:row r="5" ht="25" customHeight="1">
      <x:c r="A5" s="3" t="s">
        <x:v>45</x:v>
      </x:c>
      <x:c r="B5" s="3" t="s">
        <x:v>98</x:v>
      </x:c>
      <x:c r="C5" s="3" t="s">
        <x:v>99</x:v>
      </x:c>
      <x:c r="D5" s="3" t="s">
        <x:v>97</x:v>
      </x:c>
      <x:c r="E5" s="3" t="s">
        <x:v>593</x:v>
      </x:c>
      <x:c r="F5" s="3" t="s">
        <x:v>102</x:v>
      </x:c>
      <x:c r="G5" s="3" t="s">
        <x:v>590</x:v>
      </x:c>
    </x:row>
    <x:row r="6" ht="25" customHeight="1">
      <x:c r="A6" s="3" t="s">
        <x:v>45</x:v>
      </x:c>
      <x:c r="B6" s="3" t="s">
        <x:v>98</x:v>
      </x:c>
      <x:c r="C6" s="3" t="s">
        <x:v>594</x:v>
      </x:c>
      <x:c r="D6" s="3" t="s">
        <x:v>97</x:v>
      </x:c>
      <x:c r="E6" s="3" t="s">
        <x:v>108</x:v>
      </x:c>
      <x:c r="F6" s="3" t="s">
        <x:v>109</x:v>
      </x:c>
      <x:c r="G6" s="3" t="s">
        <x:v>590</x:v>
      </x:c>
    </x:row>
    <x:row r="7" ht="25" customHeight="1">
      <x:c r="A7" s="3" t="s">
        <x:v>117</x:v>
      </x:c>
      <x:c r="B7" s="3" t="s">
        <x:v>129</x:v>
      </x:c>
      <x:c r="C7" s="3" t="s">
        <x:v>595</x:v>
      </x:c>
      <x:c r="D7" s="3" t="s">
        <x:v>127</x:v>
      </x:c>
      <x:c r="E7" s="3" t="s">
        <x:v>132</x:v>
      </x:c>
      <x:c r="F7" s="3" t="s">
        <x:v>133</x:v>
      </x:c>
      <x:c r="G7" s="3" t="s">
        <x:v>590</x:v>
      </x:c>
    </x:row>
    <x:row r="8" ht="25" customHeight="1">
      <x:c r="A8" s="3" t="s">
        <x:v>140</x:v>
      </x:c>
      <x:c r="B8" s="3" t="s">
        <x:v>139</x:v>
      </x:c>
      <x:c r="C8" s="3" t="s">
        <x:v>141</x:v>
      </x:c>
      <x:c r="D8" s="3" t="s">
        <x:v>137</x:v>
      </x:c>
      <x:c r="E8" s="3" t="s">
        <x:v>143</x:v>
      </x:c>
      <x:c r="F8" s="3" t="s">
        <x:v>144</x:v>
      </x:c>
      <x:c r="G8" s="3" t="s">
        <x:v>590</x:v>
      </x:c>
    </x:row>
    <x:row r="9" ht="25" customHeight="1">
      <x:c r="A9" s="3" t="s">
        <x:v>167</x:v>
      </x:c>
      <x:c r="B9" s="3" t="s">
        <x:v>177</x:v>
      </x:c>
      <x:c r="C9" s="3" t="s">
        <x:v>178</x:v>
      </x:c>
      <x:c r="D9" s="3" t="s">
        <x:v>175</x:v>
      </x:c>
      <x:c r="E9" s="3" t="s">
        <x:v>180</x:v>
      </x:c>
      <x:c r="F9" s="3" t="s">
        <x:v>181</x:v>
      </x:c>
      <x:c r="G9" s="3" t="s">
        <x:v>590</x:v>
      </x:c>
    </x:row>
    <x:row r="10" ht="25" customHeight="1">
      <x:c r="A10" s="3" t="s">
        <x:v>196</x:v>
      </x:c>
      <x:c r="B10" s="3" t="s">
        <x:v>195</x:v>
      </x:c>
      <x:c r="C10" s="3" t="s">
        <x:v>197</x:v>
      </x:c>
      <x:c r="D10" s="3" t="s">
        <x:v>77</x:v>
      </x:c>
      <x:c r="E10" s="3" t="s">
        <x:v>199</x:v>
      </x:c>
      <x:c r="F10" s="3" t="s">
        <x:v>200</x:v>
      </x:c>
      <x:c r="G10" s="3" t="s">
        <x:v>590</x:v>
      </x:c>
    </x:row>
    <x:row r="11" ht="25" customHeight="1">
      <x:c r="A11" s="3" t="s">
        <x:v>218</x:v>
      </x:c>
      <x:c r="B11" s="3" t="s">
        <x:v>217</x:v>
      </x:c>
      <x:c r="C11" s="3" t="s">
        <x:v>219</x:v>
      </x:c>
      <x:c r="D11" s="3" t="s">
        <x:v>97</x:v>
      </x:c>
      <x:c r="E11" s="3" t="s">
        <x:v>221</x:v>
      </x:c>
      <x:c r="F11" s="3" t="s">
        <x:v>222</x:v>
      </x:c>
      <x:c r="G11" s="3" t="s">
        <x:v>590</x:v>
      </x:c>
    </x:row>
    <x:row r="12" ht="25" customHeight="1">
      <x:c r="A12" s="3" t="s">
        <x:v>596</x:v>
      </x:c>
      <x:c r="B12" s="3" t="s">
        <x:v>78</x:v>
      </x:c>
      <x:c r="C12" s="3" t="s">
        <x:v>240</x:v>
      </x:c>
      <x:c r="D12" s="3" t="s">
        <x:v>237</x:v>
      </x:c>
      <x:c r="E12" s="3" t="s">
        <x:v>597</x:v>
      </x:c>
      <x:c r="F12" s="3" t="s">
        <x:v>243</x:v>
      </x:c>
      <x:c r="G12" s="3" t="s">
        <x:v>590</x:v>
      </x:c>
    </x:row>
    <x:row r="13" ht="25" customHeight="1">
      <x:c r="A13" s="3" t="s">
        <x:v>45</x:v>
      </x:c>
      <x:c r="B13" s="3" t="s">
        <x:v>44</x:v>
      </x:c>
      <x:c r="C13" s="3" t="s">
        <x:v>598</x:v>
      </x:c>
      <x:c r="D13" s="3" t="s">
        <x:v>247</x:v>
      </x:c>
      <x:c r="E13" s="3" t="s">
        <x:v>599</x:v>
      </x:c>
      <x:c r="F13" s="3" t="s">
        <x:v>251</x:v>
      </x:c>
      <x:c r="G13" s="3" t="s">
        <x:v>590</x:v>
      </x:c>
    </x:row>
    <x:row r="14" ht="25" customHeight="1">
      <x:c r="A14" s="3" t="s">
        <x:v>256</x:v>
      </x:c>
      <x:c r="B14" s="3" t="s">
        <x:v>78</x:v>
      </x:c>
      <x:c r="C14" s="3" t="s">
        <x:v>258</x:v>
      </x:c>
      <x:c r="D14" s="3" t="s">
        <x:v>255</x:v>
      </x:c>
      <x:c r="E14" s="3" t="s">
        <x:v>600</x:v>
      </x:c>
      <x:c r="F14" s="3" t="s">
        <x:v>261</x:v>
      </x:c>
      <x:c r="G14" s="3" t="s">
        <x:v>590</x:v>
      </x:c>
    </x:row>
    <x:row r="15" ht="25" customHeight="1">
      <x:c r="A15" s="3" t="s">
        <x:v>45</x:v>
      </x:c>
      <x:c r="B15" s="3" t="s">
        <x:v>98</x:v>
      </x:c>
      <x:c r="C15" s="3" t="s">
        <x:v>266</x:v>
      </x:c>
      <x:c r="D15" s="3" t="s">
        <x:v>265</x:v>
      </x:c>
      <x:c r="E15" s="3" t="s">
        <x:v>268</x:v>
      </x:c>
      <x:c r="F15" s="3" t="s">
        <x:v>269</x:v>
      </x:c>
      <x:c r="G15" s="3" t="s">
        <x:v>590</x:v>
      </x:c>
    </x:row>
    <x:row r="16" ht="25" customHeight="1">
      <x:c r="A16" s="3" t="s">
        <x:v>273</x:v>
      </x:c>
      <x:c r="B16" s="3" t="s">
        <x:v>78</x:v>
      </x:c>
      <x:c r="C16" s="3" t="s">
        <x:v>275</x:v>
      </x:c>
      <x:c r="D16" s="3" t="s">
        <x:v>265</x:v>
      </x:c>
      <x:c r="E16" s="3" t="s">
        <x:v>601</x:v>
      </x:c>
      <x:c r="F16" s="3" t="s">
        <x:v>278</x:v>
      </x:c>
      <x:c r="G16" s="3" t="s">
        <x:v>590</x:v>
      </x:c>
    </x:row>
    <x:row r="17" ht="25" customHeight="1">
      <x:c r="A17" s="3" t="s">
        <x:v>45</x:v>
      </x:c>
      <x:c r="B17" s="3" t="s">
        <x:v>602</x:v>
      </x:c>
      <x:c r="C17" s="3" t="s">
        <x:v>603</x:v>
      </x:c>
      <x:c r="D17" s="3" t="s">
        <x:v>114</x:v>
      </x:c>
      <x:c r="E17" s="3" t="s">
        <x:v>604</x:v>
      </x:c>
      <x:c r="F17" s="3" t="s">
        <x:v>324</x:v>
      </x:c>
      <x:c r="G17" s="3" t="s">
        <x:v>605</x:v>
      </x:c>
    </x:row>
  </x:sheetData>
  <x:pageMargins left="0.7" right="0.7" top="0.75" bottom="0.75" header="0.3" footer="0.3"/>
</x:worksheet>
</file>

<file path=xl/worksheets/sheet4.xml><?xml version="1.0" encoding="utf-8"?>
<x:worksheet xmlns:x="http://schemas.openxmlformats.org/spreadsheetml/2006/main">
  <x:sheetFormatPr defaultColWidth="9" defaultRowHeight="14"/>
  <x:cols>
    <x:col min="1" max="1" width="25" customWidth="1"/>
    <x:col min="2" max="2" width="12" customWidth="1"/>
  </x:cols>
  <x:sheetData>
    <x:row r="1" ht="22" customHeight="1">
      <x:c r="A1" s="8" t="str">
        <x:v>统计项</x:v>
      </x:c>
      <x:c r="B1" s="8" t="str">
        <x:v>数量</x:v>
      </x:c>
    </x:row>
    <x:row r="2" ht="22" customHeight="1">
      <x:c r="A2" s="9" t="str">
        <x:v>有效公众/个人观点及评论总数</x:v>
      </x:c>
      <x:c r="B2" s="9" t="n">
        <x:f>COUNTIF('第一部分_有效舆情明细'!Y2:Y66,"是")+('第一部分_有效舆情明细'!S33-1)</x:f>
        <x:v>160</x:v>
      </x:c>
    </x:row>
    <x:row r="3" ht="22" customHeight="1">
      <x:c r="A3" s="9" t="str">
        <x:v>支持认可</x:v>
      </x:c>
      <x:c r="B3" s="9" t="n">
        <x:f>COUNTIFS('第一部分_有效舆情明细'!Y2:Y66,"是",'第一部分_有效舆情明细'!P2:P66,"支持认可")+('第一部分_有效舆情明细'!S33-1)</x:f>
        <x:v>152</x:v>
      </x:c>
    </x:row>
    <x:row r="4" ht="22" customHeight="1">
      <x:c r="A4" s="9" t="str">
        <x:v>咨询疑问</x:v>
      </x:c>
      <x:c r="B4" s="9" t="n">
        <x:f>COUNTIFS('第一部分_有效舆情明细'!Y2:Y66,"是",'第一部分_有效舆情明细'!P2:P66,"咨询疑问")</x:f>
        <x:v>3</x:v>
      </x:c>
    </x:row>
    <x:row r="5" ht="22" customHeight="1">
      <x:c r="A5" s="9" t="str">
        <x:v>担忧影响</x:v>
      </x:c>
      <x:c r="B5" s="9" t="n">
        <x:f>COUNTIFS('第一部分_有效舆情明细'!Y2:Y66,"是",'第一部分_有效舆情明细'!P2:P66,"担忧影响")</x:f>
        <x:v>1</x:v>
      </x:c>
    </x:row>
    <x:row r="6" ht="22" customHeight="1">
      <x:c r="A6" s="9" t="str">
        <x:v>明确批评</x:v>
      </x:c>
      <x:c r="B6" s="9" t="n">
        <x:f>COUNTIFS('第一部分_有效舆情明细'!Y2:Y66,"是",'第一部分_有效舆情明细'!P2:P66,"明确批评")</x:f>
        <x:v>0</x:v>
      </x:c>
    </x:row>
    <x:row r="7" ht="22" customHeight="1">
      <x:c r="A7" s="9" t="str">
        <x:v>投诉维权</x:v>
      </x:c>
      <x:c r="B7" s="9" t="n">
        <x:f>COUNTIFS('第一部分_有效舆情明细'!Y2:Y66,"是",'第一部分_有效舆情明细'!P2:P66,"投诉维权")</x:f>
        <x:v>0</x:v>
      </x:c>
    </x:row>
    <x:row r="8" ht="22" customHeight="1">
      <x:c r="A8" s="9" t="str">
        <x:v>实施问题</x:v>
      </x:c>
      <x:c r="B8" s="9" t="n">
        <x:f>COUNTIFS('第一部分_有效舆情明细'!Y2:Y66,"是",'第一部分_有效舆情明细'!P2:P66,"实施问题")</x:f>
        <x:v>0</x:v>
      </x:c>
    </x:row>
    <x:row r="9" ht="22" customHeight="1">
      <x:c r="A9" s="9" t="str">
        <x:v>公平争议</x:v>
      </x:c>
      <x:c r="B9" s="9" t="n">
        <x:f>COUNTIFS('第一部分_有效舆情明细'!Y2:Y66,"是",'第一部分_有效舆情明细'!P2:P66,"公平争议")</x:f>
        <x:v>0</x:v>
      </x:c>
    </x:row>
    <x:row r="10" ht="22" customHeight="1">
      <x:c r="A10" s="9" t="str">
        <x:v>咨询/诉求</x:v>
      </x:c>
      <x:c r="B10" s="9" t="n">
        <x:f>COUNTIFS('第一部分_有效舆情明细'!Y2:Y66,"是",'第一部分_有效舆情明细'!P2:P66,"咨询/诉求")</x:f>
        <x:v>1</x:v>
      </x:c>
    </x:row>
    <x:row r="11" ht="22" customHeight="1">
      <x:c r="A11" s="9" t="str">
        <x:v>中性/观点对立</x:v>
      </x:c>
      <x:c r="B11" s="9" t="n">
        <x:f>COUNTIFS('第一部分_有效舆情明细'!Y2:Y66,"是",'第一部分_有效舆情明细'!P2:P66,"中性信息")+COUNTIFS('第一部分_有效舆情明细'!Y2:Y66,"是",'第一部分_有效舆情明细'!P2:P66,"观点对立")</x:f>
        <x:v>2</x:v>
      </x:c>
    </x:row>
    <x:row r="12" ht="22" customHeight="1">
      <x:c r="A12" s="9" t="str">
        <x:v>待维吾尔语人员复核</x:v>
      </x:c>
      <x:c r="B12" s="9" t="n">
        <x:f>COUNTIFS('第一部分_有效舆情明细'!Y2:Y66,"是",'第一部分_有效舆情明细'!P2:P66,"待维吾尔语人员复核")</x:f>
        <x:v>1</x:v>
      </x:c>
    </x:row>
    <x:row r="13" ht="22" customHeight="1">
      <x:c r="A13" s="9" t="str">
        <x:v>样本说明</x:v>
      </x:c>
      <x:c r="B13" s="9" t="str">
        <x:v>公众意见按明细“是否计入公众统计=是”统计；视频号序号32为137条支持性互动汇总，按137条计。B站担忧评论已恢复；小红书评论改为中性信息。</x:v>
      </x:c>
    </x:row>
    <x:row r="14" ht="22" customHeight="1">
      <x:c r="A14" s="9" t="str">
        <x:v>主要关注问题（按出现频次）</x:v>
      </x:c>
      <x:c r="B14" s="9" t="str"/>
    </x:row>
    <x:row r="15" ht="22" customHeight="1">
      <x:c r="A15" s="8" t="str">
        <x:v>问题</x:v>
      </x:c>
      <x:c r="B15" s="8" t="str">
        <x:v>出现次数</x:v>
      </x:c>
    </x:row>
    <x:row r="16" ht="22" customHeight="1">
      <x:c r="A16" s="9" t="str">
        <x:v>支持法律施行与总体评价</x:v>
      </x:c>
      <x:c r="B16" s="9" t="n">
        <x:v>152</x:v>
      </x:c>
    </x:row>
    <x:row r="17" ht="22" customHeight="1">
      <x:c r="A17" s="9" t="str">
        <x:v>法律执行/适用咨询与诉求</x:v>
      </x:c>
      <x:c r="B17" s="9" t="str">
        <x:v>5</x:v>
      </x:c>
    </x:row>
    <x:row r="18" ht="22" customHeight="1">
      <x:c r="A18" s="9" t="str">
        <x:v>说明</x:v>
      </x:c>
      <x:c r="B18" s="9" t="str">
        <x:v>共160条：支持152、咨询疑问3、咨询/诉求1、担忧1、中性/观点对立2、维吾尔语待复核1。</x:v>
      </x:c>
    </x:row>
  </x:sheetData>
  <x:pageMargins left="0.7" right="0.7" top="0.75" bottom="0.75" header="0.3" footer="0.3"/>
</x:worksheet>
</file>

<file path=xl/worksheets/sheet5.xml><?xml version="1.0" encoding="utf-8"?>
<x:worksheet xmlns:x="http://schemas.openxmlformats.org/spreadsheetml/2006/main">
  <x:sheetFormatPr defaultColWidth="9" defaultRowHeight="14"/>
  <x:cols>
    <x:col min="1" max="1" width="6" customWidth="1"/>
    <x:col min="2" max="2" width="18" customWidth="1"/>
    <x:col min="3" max="3" width="25" customWidth="1"/>
    <x:col min="4" max="4" width="45" customWidth="1"/>
    <x:col min="5" max="5" width="50" customWidth="1"/>
    <x:col min="6" max="6" width="20" customWidth="1"/>
    <x:col min="7" max="7" width="30" customWidth="1"/>
  </x:cols>
  <x:sheetData>
    <x:row r="1" ht="30" customHeight="1">
      <x:c r="A1" s="10" t="s">
        <x:v>16</x:v>
      </x:c>
      <x:c r="B1" s="10" t="s">
        <x:v>606</x:v>
      </x:c>
      <x:c r="C1" s="10" t="s">
        <x:v>19</x:v>
      </x:c>
      <x:c r="D1" s="10" t="s">
        <x:v>607</x:v>
      </x:c>
      <x:c r="E1" s="10" t="s">
        <x:v>29</x:v>
      </x:c>
      <x:c r="F1" s="10" t="s">
        <x:v>608</x:v>
      </x:c>
      <x:c r="G1" s="10" t="s">
        <x:v>609</x:v>
      </x:c>
    </x:row>
    <x:row r="2" ht="22" customHeight="1">
      <x:c r="A2" s="9" t="s">
        <x:v>1</x:v>
      </x:c>
      <x:c r="B2" s="9" t="s">
        <x:v>610</x:v>
      </x:c>
      <x:c r="C2" s="9" t="s">
        <x:v>611</x:v>
      </x:c>
      <x:c r="D2" s="9" t="s">
        <x:v>612</x:v>
      </x:c>
      <x:c r="E2" s="9" t="s">
        <x:v>613</x:v>
      </x:c>
      <x:c r="F2" s="9" t="s">
        <x:v>614</x:v>
      </x:c>
      <x:c r="G2" s="9" t="s">
        <x:v>615</x:v>
      </x:c>
    </x:row>
    <x:row r="3" ht="22" customHeight="1">
      <x:c r="A3" s="9" t="s">
        <x:v>58</x:v>
      </x:c>
      <x:c r="B3" s="9" t="s">
        <x:v>610</x:v>
      </x:c>
      <x:c r="C3" s="9" t="s">
        <x:v>616</x:v>
      </x:c>
      <x:c r="D3" s="9" t="s">
        <x:v>617</x:v>
      </x:c>
      <x:c r="E3" s="9" t="s">
        <x:v>618</x:v>
      </x:c>
      <x:c r="F3" s="9" t="s">
        <x:v>614</x:v>
      </x:c>
      <x:c r="G3" s="9" t="s">
        <x:v>619</x:v>
      </x:c>
    </x:row>
    <x:row r="4" ht="22" customHeight="1">
      <x:c r="A4" s="9" t="s">
        <x:v>69</x:v>
      </x:c>
      <x:c r="B4" s="9" t="s">
        <x:v>620</x:v>
      </x:c>
      <x:c r="C4" s="9" t="s">
        <x:v>621</x:v>
      </x:c>
      <x:c r="D4" s="9" t="s">
        <x:v>622</x:v>
      </x:c>
      <x:c r="E4" s="9" t="s">
        <x:v>623</x:v>
      </x:c>
      <x:c r="F4" s="9" t="s">
        <x:v>614</x:v>
      </x:c>
      <x:c r="G4" s="9" t="s">
        <x:v>624</x:v>
      </x:c>
    </x:row>
    <x:row r="5" ht="22" customHeight="1">
      <x:c r="A5" s="9" t="s">
        <x:v>76</x:v>
      </x:c>
      <x:c r="B5" s="9" t="s">
        <x:v>87</x:v>
      </x:c>
      <x:c r="C5" s="9" t="s">
        <x:v>625</x:v>
      </x:c>
      <x:c r="D5" s="9" t="s">
        <x:v>626</x:v>
      </x:c>
      <x:c r="E5" s="9" t="s">
        <x:v>627</x:v>
      </x:c>
      <x:c r="F5" s="9" t="s">
        <x:v>628</x:v>
      </x:c>
      <x:c r="G5" s="9" t="s">
        <x:v>629</x:v>
      </x:c>
    </x:row>
    <x:row r="6" ht="22" customHeight="1">
      <x:c r="A6" s="9" t="s">
        <x:v>86</x:v>
      </x:c>
      <x:c r="B6" s="9" t="s">
        <x:v>237</x:v>
      </x:c>
      <x:c r="C6" s="9" t="s">
        <x:v>630</x:v>
      </x:c>
      <x:c r="D6" s="9" t="s">
        <x:v>631</x:v>
      </x:c>
      <x:c r="E6" s="9" t="s">
        <x:v>632</x:v>
      </x:c>
      <x:c r="F6" s="9" t="s">
        <x:v>633</x:v>
      </x:c>
      <x:c r="G6" s="9" t="s">
        <x:v>634</x:v>
      </x:c>
    </x:row>
    <x:row r="7" ht="22" customHeight="1">
      <x:c r="A7" s="9" t="s">
        <x:v>96</x:v>
      </x:c>
      <x:c r="B7" s="9" t="s">
        <x:v>635</x:v>
      </x:c>
      <x:c r="C7" s="9" t="s">
        <x:v>636</x:v>
      </x:c>
      <x:c r="D7" s="9" t="s">
        <x:v>637</x:v>
      </x:c>
      <x:c r="E7" s="9" t="s">
        <x:v>638</x:v>
      </x:c>
      <x:c r="F7" s="9" t="s">
        <x:v>639</x:v>
      </x:c>
      <x:c r="G7" s="9" t="s">
        <x:v>640</x:v>
      </x:c>
    </x:row>
    <x:row r="8" ht="22" customHeight="1">
      <x:c r="A8" s="9" t="s">
        <x:v>105</x:v>
      </x:c>
      <x:c r="B8" s="9" t="s">
        <x:v>114</x:v>
      </x:c>
      <x:c r="C8" s="9" t="s">
        <x:v>283</x:v>
      </x:c>
      <x:c r="D8" s="9" t="s">
        <x:v>641</x:v>
      </x:c>
      <x:c r="E8" s="9" t="s">
        <x:v>642</x:v>
      </x:c>
      <x:c r="F8" s="9" t="s">
        <x:v>643</x:v>
      </x:c>
      <x:c r="G8" s="9" t="s">
        <x:v>644</x:v>
      </x:c>
    </x:row>
    <x:row r="9" ht="22" customHeight="1">
      <x:c r="A9" s="9" t="s">
        <x:v>113</x:v>
      </x:c>
      <x:c r="B9" s="9" t="s">
        <x:v>127</x:v>
      </x:c>
      <x:c r="C9" s="9" t="s">
        <x:v>128</x:v>
      </x:c>
      <x:c r="D9" s="9" t="s">
        <x:v>645</x:v>
      </x:c>
      <x:c r="E9" s="9" t="s">
        <x:v>133</x:v>
      </x:c>
      <x:c r="F9" s="9" t="s">
        <x:v>646</x:v>
      </x:c>
      <x:c r="G9" s="9" t="s">
        <x:v>647</x:v>
      </x:c>
    </x:row>
    <x:row r="10" ht="22" customHeight="1">
      <x:c r="A10" s="9" t="s">
        <x:v>126</x:v>
      </x:c>
      <x:c r="B10" s="9" t="s">
        <x:v>648</x:v>
      </x:c>
      <x:c r="C10" s="9" t="s">
        <x:v>649</x:v>
      </x:c>
      <x:c r="D10" s="9" t="s">
        <x:v>650</x:v>
      </x:c>
      <x:c r="E10" s="9" t="s">
        <x:v>651</x:v>
      </x:c>
      <x:c r="F10" s="9" t="str">
        <x:v>已撤销排除，恢复有效明细</x:v>
      </x:c>
      <x:c r="G10" s="9" t="str">
        <x:v>批评对象为宗教极端化现象，非对本法本身的明确批评；已改为“中性信息”并恢复计入公众统计。母帖具体URL/截图仍需补证。</x:v>
      </x:c>
    </x:row>
    <x:row r="11" ht="22" customHeight="1">
      <x:c r="A11" s="9" t="s">
        <x:v>136</x:v>
      </x:c>
      <x:c r="B11" s="9" t="s">
        <x:v>652</x:v>
      </x:c>
      <x:c r="C11" s="9" t="s">
        <x:v>541</x:v>
      </x:c>
      <x:c r="D11" s="9" t="s">
        <x:v>653</x:v>
      </x:c>
      <x:c r="E11" s="9" t="s">
        <x:v>654</x:v>
      </x:c>
      <x:c r="F11" s="9" t="str">
        <x:v>已撤销排除，恢复有效明细</x:v>
      </x:c>
      <x:c r="G11" s="9" t="str">
        <x:v>该评论直接表达对本法执行及司法解释的担忧；已恢复为“担忧影响”并计入公众统计。母视频具体URL/截图仍需补证。</x:v>
      </x:c>
    </x:row>
  </x:sheetData>
  <x:pageMargins left="0.7" right="0.7" top="0.75" bottom="0.75" header="0.3" footer="0.3"/>
</x:worksheet>
</file>

<file path=xl/worksheets/sheet6.xml><?xml version="1.0" encoding="utf-8"?>
<x:worksheet xmlns:x="http://schemas.openxmlformats.org/spreadsheetml/2006/main">
  <x:sheetFormatPr defaultColWidth="9" defaultRowHeight="14"/>
  <x:cols>
    <x:col min="1" max="1" width="30" customWidth="1"/>
    <x:col min="2" max="2" width="20" customWidth="1"/>
    <x:col min="3" max="3" width="35" customWidth="1"/>
    <x:col min="4" max="5" width="30" customWidth="1"/>
    <x:col min="6" max="6" width="25" customWidth="1"/>
    <x:col min="7" max="7" width="20" customWidth="1"/>
    <x:col min="8" max="8" width="25" customWidth="1"/>
  </x:cols>
  <x:sheetData>
    <x:row r="1" ht="30" customHeight="1">
      <x:c r="A1" s="1" t="s">
        <x:v>655</x:v>
      </x:c>
      <x:c r="B1" s="1" t="s">
        <x:v>656</x:v>
      </x:c>
      <x:c r="C1" s="1" t="s">
        <x:v>657</x:v>
      </x:c>
      <x:c r="D1" s="1" t="s">
        <x:v>658</x:v>
      </x:c>
      <x:c r="E1" s="1" t="s">
        <x:v>659</x:v>
      </x:c>
      <x:c r="F1" s="1" t="s">
        <x:v>660</x:v>
      </x:c>
      <x:c r="G1" s="1" t="s">
        <x:v>661</x:v>
      </x:c>
      <x:c r="H1" s="1" t="s">
        <x:v>662</x:v>
      </x:c>
    </x:row>
    <x:row r="2" ht="22" customHeight="1">
      <x:c r="A2" s="3" t="s">
        <x:v>663</x:v>
      </x:c>
      <x:c r="B2" s="3" t="s">
        <x:v>664</x:v>
      </x:c>
      <x:c r="C2" s="3" t="s">
        <x:v>665</x:v>
      </x:c>
      <x:c r="D2" s="3" t="s">
        <x:v>666</x:v>
      </x:c>
      <x:c r="E2" s="3" t="s">
        <x:v>667</x:v>
      </x:c>
      <x:c r="F2" s="3" t="s">
        <x:v>668</x:v>
      </x:c>
      <x:c r="G2" s="3" t="s">
        <x:v>669</x:v>
      </x:c>
      <x:c r="H2" s="3" t="s">
        <x:v>670</x:v>
      </x:c>
    </x:row>
    <x:row r="3" ht="22" customHeight="1">
      <x:c r="A3" s="3" t="s">
        <x:v>671</x:v>
      </x:c>
      <x:c r="B3" s="3" t="s">
        <x:v>664</x:v>
      </x:c>
      <x:c r="C3" s="3" t="s">
        <x:v>672</x:v>
      </x:c>
      <x:c r="D3" s="3" t="s">
        <x:v>673</x:v>
      </x:c>
      <x:c r="E3" s="3" t="s">
        <x:v>674</x:v>
      </x:c>
      <x:c r="F3" s="3" t="s">
        <x:v>675</x:v>
      </x:c>
      <x:c r="G3" s="3" t="s">
        <x:v>669</x:v>
      </x:c>
      <x:c r="H3" s="3" t="s">
        <x:v>670</x:v>
      </x:c>
    </x:row>
    <x:row r="4" ht="22" customHeight="1">
      <x:c r="A4" s="3" t="s">
        <x:v>676</x:v>
      </x:c>
      <x:c r="B4" s="3" t="s">
        <x:v>664</x:v>
      </x:c>
      <x:c r="C4" s="3" t="s">
        <x:v>677</x:v>
      </x:c>
      <x:c r="D4" s="3" t="s">
        <x:v>678</x:v>
      </x:c>
      <x:c r="E4" s="3" t="s">
        <x:v>679</x:v>
      </x:c>
      <x:c r="F4" s="3" t="s">
        <x:v>680</x:v>
      </x:c>
      <x:c r="G4" s="3" t="s">
        <x:v>669</x:v>
      </x:c>
      <x:c r="H4" s="3" t="s">
        <x:v>681</x:v>
      </x:c>
    </x:row>
    <x:row r="5" ht="22" customHeight="1">
      <x:c r="A5" s="3" t="s">
        <x:v>682</x:v>
      </x:c>
      <x:c r="B5" s="3" t="s">
        <x:v>664</x:v>
      </x:c>
      <x:c r="C5" s="3" t="s">
        <x:v>683</x:v>
      </x:c>
      <x:c r="D5" s="3" t="s">
        <x:v>684</x:v>
      </x:c>
      <x:c r="E5" s="3" t="s">
        <x:v>685</x:v>
      </x:c>
      <x:c r="F5" s="3" t="s">
        <x:v>686</x:v>
      </x:c>
      <x:c r="G5" s="3" t="s">
        <x:v>669</x:v>
      </x:c>
      <x:c r="H5" s="3" t="s">
        <x:v>681</x:v>
      </x:c>
    </x:row>
    <x:row r="6" ht="22" customHeight="1">
      <x:c r="A6" s="3" t="s">
        <x:v>687</x:v>
      </x:c>
      <x:c r="B6" s="3" t="s">
        <x:v>664</x:v>
      </x:c>
      <x:c r="C6" s="3" t="s">
        <x:v>688</x:v>
      </x:c>
      <x:c r="D6" s="3" t="s">
        <x:v>689</x:v>
      </x:c>
      <x:c r="E6" s="3" t="s">
        <x:v>690</x:v>
      </x:c>
      <x:c r="F6" s="3" t="s">
        <x:v>691</x:v>
      </x:c>
      <x:c r="G6" s="3" t="s">
        <x:v>669</x:v>
      </x:c>
      <x:c r="H6" s="3" t="s">
        <x:v>681</x:v>
      </x:c>
    </x:row>
    <x:row r="7" ht="22" customHeight="1">
      <x:c r="A7" s="3" t="s">
        <x:v>125</x:v>
      </x:c>
      <x:c r="B7" s="3" t="s">
        <x:v>664</x:v>
      </x:c>
      <x:c r="C7" s="3" t="s">
        <x:v>692</x:v>
      </x:c>
      <x:c r="D7" s="3" t="s">
        <x:v>693</x:v>
      </x:c>
      <x:c r="E7" s="3" t="s">
        <x:v>694</x:v>
      </x:c>
      <x:c r="F7" s="3" t="s">
        <x:v>695</x:v>
      </x:c>
      <x:c r="G7" s="3" t="s">
        <x:v>669</x:v>
      </x:c>
      <x:c r="H7" s="3" t="s">
        <x:v>696</x:v>
      </x:c>
    </x:row>
    <x:row r="8" ht="22" customHeight="1">
      <x:c r="A8" s="3" t="s">
        <x:v>697</x:v>
      </x:c>
      <x:c r="B8" s="3" t="s">
        <x:v>664</x:v>
      </x:c>
      <x:c r="C8" s="3" t="s">
        <x:v>698</x:v>
      </x:c>
      <x:c r="D8" s="3" t="s">
        <x:v>699</x:v>
      </x:c>
      <x:c r="E8" s="3" t="s">
        <x:v>700</x:v>
      </x:c>
      <x:c r="F8" s="3" t="s">
        <x:v>701</x:v>
      </x:c>
      <x:c r="G8" s="3" t="s">
        <x:v>669</x:v>
      </x:c>
      <x:c r="H8" s="3" t="s">
        <x:v>681</x:v>
      </x:c>
    </x:row>
    <x:row r="9" ht="22" customHeight="1">
      <x:c r="A9" s="3" t="s">
        <x:v>139</x:v>
      </x:c>
      <x:c r="B9" s="3" t="s">
        <x:v>664</x:v>
      </x:c>
      <x:c r="C9" s="3" t="s">
        <x:v>702</x:v>
      </x:c>
      <x:c r="D9" s="3" t="s">
        <x:v>703</x:v>
      </x:c>
      <x:c r="E9" s="3" t="s">
        <x:v>704</x:v>
      </x:c>
      <x:c r="F9" s="3" t="s">
        <x:v>705</x:v>
      </x:c>
      <x:c r="G9" s="3" t="s">
        <x:v>669</x:v>
      </x:c>
      <x:c r="H9" s="3" t="s">
        <x:v>681</x:v>
      </x:c>
    </x:row>
    <x:row r="10" ht="22" customHeight="1">
      <x:c r="A10" s="3" t="s">
        <x:v>706</x:v>
      </x:c>
      <x:c r="B10" s="3" t="s">
        <x:v>664</x:v>
      </x:c>
      <x:c r="C10" s="3" t="s">
        <x:v>707</x:v>
      </x:c>
      <x:c r="D10" s="3" t="s">
        <x:v>708</x:v>
      </x:c>
      <x:c r="E10" s="3" t="s">
        <x:v>709</x:v>
      </x:c>
      <x:c r="F10" s="3" t="s">
        <x:v>710</x:v>
      </x:c>
      <x:c r="G10" s="3" t="s">
        <x:v>669</x:v>
      </x:c>
      <x:c r="H10" s="3" t="s">
        <x:v>711</x:v>
      </x:c>
    </x:row>
    <x:row r="11" ht="22" customHeight="1">
      <x:c r="A11" s="3" t="s">
        <x:v>712</x:v>
      </x:c>
      <x:c r="B11" s="3" t="s">
        <x:v>664</x:v>
      </x:c>
      <x:c r="C11" s="3" t="s">
        <x:v>713</x:v>
      </x:c>
      <x:c r="D11" s="3" t="s">
        <x:v>714</x:v>
      </x:c>
      <x:c r="E11" s="3" t="s">
        <x:v>715</x:v>
      </x:c>
      <x:c r="F11" s="3" t="s">
        <x:v>716</x:v>
      </x:c>
      <x:c r="G11" s="3" t="s">
        <x:v>669</x:v>
      </x:c>
      <x:c r="H11" s="3" t="s">
        <x:v>681</x:v>
      </x:c>
    </x:row>
    <x:row r="12" ht="22" customHeight="1">
      <x:c r="A12" s="3" t="s">
        <x:v>203</x:v>
      </x:c>
      <x:c r="B12" s="3" t="s">
        <x:v>664</x:v>
      </x:c>
      <x:c r="C12" s="3" t="s">
        <x:v>717</x:v>
      </x:c>
      <x:c r="D12" s="3" t="s">
        <x:v>718</x:v>
      </x:c>
      <x:c r="E12" s="3" t="s">
        <x:v>719</x:v>
      </x:c>
      <x:c r="F12" s="3" t="s">
        <x:v>720</x:v>
      </x:c>
      <x:c r="G12" s="3" t="s">
        <x:v>669</x:v>
      </x:c>
      <x:c r="H12" s="3" t="s">
        <x:v>711</x:v>
      </x:c>
    </x:row>
    <x:row r="13" ht="22" customHeight="1">
      <x:c r="A13" s="3" t="s">
        <x:v>721</x:v>
      </x:c>
      <x:c r="B13" s="3" t="s">
        <x:v>664</x:v>
      </x:c>
      <x:c r="C13" s="3" t="s">
        <x:v>722</x:v>
      </x:c>
      <x:c r="D13" s="3" t="s">
        <x:v>723</x:v>
      </x:c>
      <x:c r="E13" s="3" t="s">
        <x:v>724</x:v>
      </x:c>
      <x:c r="F13" s="3" t="s">
        <x:v>725</x:v>
      </x:c>
      <x:c r="G13" s="3" t="s">
        <x:v>669</x:v>
      </x:c>
      <x:c r="H13" s="3" t="s">
        <x:v>711</x:v>
      </x:c>
    </x:row>
    <x:row r="14" ht="22" customHeight="1">
      <x:c r="A14" s="3" t="s">
        <x:v>726</x:v>
      </x:c>
      <x:c r="B14" s="3" t="s">
        <x:v>664</x:v>
      </x:c>
      <x:c r="C14" s="3" t="s">
        <x:v>727</x:v>
      </x:c>
      <x:c r="D14" s="3" t="s">
        <x:v>728</x:v>
      </x:c>
      <x:c r="E14" s="3" t="s">
        <x:v>729</x:v>
      </x:c>
      <x:c r="F14" s="3" t="s">
        <x:v>730</x:v>
      </x:c>
      <x:c r="G14" s="3" t="s">
        <x:v>669</x:v>
      </x:c>
      <x:c r="H14" s="3" t="s">
        <x:v>681</x:v>
      </x:c>
    </x:row>
    <x:row r="15" ht="22" customHeight="1">
      <x:c r="A15" s="3" t="s">
        <x:v>731</x:v>
      </x:c>
      <x:c r="B15" s="3" t="s">
        <x:v>664</x:v>
      </x:c>
      <x:c r="C15" s="3" t="s">
        <x:v>732</x:v>
      </x:c>
      <x:c r="D15" s="3" t="s">
        <x:v>733</x:v>
      </x:c>
      <x:c r="E15" s="3" t="s">
        <x:v>734</x:v>
      </x:c>
      <x:c r="F15" s="3" t="s">
        <x:v>735</x:v>
      </x:c>
      <x:c r="G15" s="3" t="s">
        <x:v>669</x:v>
      </x:c>
      <x:c r="H15" s="3" t="s">
        <x:v>711</x:v>
      </x:c>
    </x:row>
    <x:row r="16" ht="22" customHeight="1">
      <x:c r="A16" s="3" t="s">
        <x:v>318</x:v>
      </x:c>
      <x:c r="B16" s="3" t="s">
        <x:v>317</x:v>
      </x:c>
      <x:c r="C16" s="3" t="s">
        <x:v>736</x:v>
      </x:c>
      <x:c r="D16" s="3" t="s">
        <x:v>737</x:v>
      </x:c>
      <x:c r="E16" s="3" t="s">
        <x:v>738</x:v>
      </x:c>
      <x:c r="F16" s="3" t="s">
        <x:v>739</x:v>
      </x:c>
      <x:c r="G16" s="3" t="s">
        <x:v>740</x:v>
      </x:c>
      <x:c r="H16" s="3" t="s">
        <x:v>741</x:v>
      </x:c>
    </x:row>
  </x:sheetData>
  <x:pageMargins left="0.7" right="0.7" top="0.75" bottom="0.75" header="0.3" footer="0.3"/>
</x:worksheet>
</file>

<file path=xl/worksheets/sheet7.xml><?xml version="1.0" encoding="utf-8"?>
<x:worksheet xmlns:x="http://schemas.openxmlformats.org/spreadsheetml/2006/main">
  <x:sheetFormatPr defaultColWidth="9" defaultRowHeight="14"/>
  <x:cols>
    <x:col min="1" max="1" width="30" customWidth="1"/>
    <x:col min="2" max="2" width="40" customWidth="1"/>
    <x:col min="3" max="3" width="35" customWidth="1"/>
    <x:col min="4" max="4" width="25" customWidth="1"/>
    <x:col min="5" max="5" width="40" customWidth="1"/>
  </x:cols>
  <x:sheetData>
    <x:row r="1" ht="30" customHeight="1">
      <x:c r="A1" s="1" t="s">
        <x:v>742</x:v>
      </x:c>
      <x:c r="B1" s="1" t="s">
        <x:v>743</x:v>
      </x:c>
      <x:c r="C1" s="1" t="s">
        <x:v>744</x:v>
      </x:c>
      <x:c r="D1" s="1" t="s">
        <x:v>745</x:v>
      </x:c>
      <x:c r="E1" s="1" t="s">
        <x:v>746</x:v>
      </x:c>
    </x:row>
    <x:row r="2" ht="22" customHeight="1">
      <x:c r="A2" s="3" t="s">
        <x:v>747</x:v>
      </x:c>
      <x:c r="B2" s="3" t="s">
        <x:v>748</x:v>
      </x:c>
      <x:c r="C2" s="3" t="s">
        <x:v>673</x:v>
      </x:c>
      <x:c r="D2" s="3" t="s">
        <x:v>749</x:v>
      </x:c>
      <x:c r="E2" s="3" t="s">
        <x:v>750</x:v>
      </x:c>
    </x:row>
    <x:row r="3" ht="22" customHeight="1">
      <x:c r="A3" s="3" t="s">
        <x:v>751</x:v>
      </x:c>
      <x:c r="B3" s="3" t="s">
        <x:v>752</x:v>
      </x:c>
      <x:c r="C3" s="3" t="s">
        <x:v>753</x:v>
      </x:c>
      <x:c r="D3" s="3" t="s">
        <x:v>754</x:v>
      </x:c>
      <x:c r="E3" s="3" t="s">
        <x:v>755</x:v>
      </x:c>
    </x:row>
    <x:row r="4" ht="22" customHeight="1">
      <x:c r="A4" s="3" t="s">
        <x:v>630</x:v>
      </x:c>
      <x:c r="B4" s="3" t="s">
        <x:v>756</x:v>
      </x:c>
      <x:c r="C4" s="3" t="s">
        <x:v>757</x:v>
      </x:c>
      <x:c r="D4" s="3" t="s">
        <x:v>758</x:v>
      </x:c>
      <x:c r="E4" s="3" t="s">
        <x:v>759</x:v>
      </x:c>
    </x:row>
    <x:row r="5" ht="22" customHeight="1">
      <x:c r="A5" s="3" t="s">
        <x:v>128</x:v>
      </x:c>
      <x:c r="B5" s="3" t="s">
        <x:v>760</x:v>
      </x:c>
      <x:c r="C5" s="3" t="s">
        <x:v>761</x:v>
      </x:c>
      <x:c r="D5" s="3" t="s">
        <x:v>762</x:v>
      </x:c>
      <x:c r="E5" s="3" t="s">
        <x:v>763</x:v>
      </x:c>
    </x:row>
    <x:row r="6" ht="22" customHeight="1">
      <x:c r="A6" s="3" t="s">
        <x:v>764</x:v>
      </x:c>
      <x:c r="B6" s="3" t="s">
        <x:v>765</x:v>
      </x:c>
      <x:c r="C6" s="3" t="s">
        <x:v>766</x:v>
      </x:c>
      <x:c r="D6" s="3" t="s">
        <x:v>767</x:v>
      </x:c>
      <x:c r="E6" s="3" t="s">
        <x:v>768</x:v>
      </x:c>
    </x:row>
    <x:row r="7" ht="22" customHeight="1">
      <x:c r="A7" s="3" t="s">
        <x:v>769</x:v>
      </x:c>
      <x:c r="B7" s="3" t="s">
        <x:v>770</x:v>
      </x:c>
      <x:c r="C7" s="3" t="s">
        <x:v>771</x:v>
      </x:c>
      <x:c r="D7" s="3" t="s">
        <x:v>772</x:v>
      </x:c>
      <x:c r="E7" s="3" t="s">
        <x:v>773</x:v>
      </x:c>
    </x:row>
    <x:row r="8" ht="22" customHeight="1">
      <x:c r="A8" s="3" t="s">
        <x:v>774</x:v>
      </x:c>
      <x:c r="B8" s="3" t="s">
        <x:v>775</x:v>
      </x:c>
      <x:c r="C8" s="3" t="s">
        <x:v>776</x:v>
      </x:c>
      <x:c r="D8" s="3" t="s">
        <x:v>777</x:v>
      </x:c>
      <x:c r="E8" s="3" t="s">
        <x:v>778</x:v>
      </x:c>
    </x:row>
    <x:row r="9" ht="22" customHeight="1">
      <x:c r="A9" s="3" t="s">
        <x:v>621</x:v>
      </x:c>
      <x:c r="B9" s="3" t="s">
        <x:v>779</x:v>
      </x:c>
      <x:c r="C9" s="3" t="s">
        <x:v>780</x:v>
      </x:c>
      <x:c r="D9" s="3" t="s">
        <x:v>781</x:v>
      </x:c>
      <x:c r="E9" s="3" t="s">
        <x:v>782</x:v>
      </x:c>
    </x:row>
    <x:row r="10" ht="22" customHeight="1">
      <x:c r="A10" s="3" t="s">
        <x:v>783</x:v>
      </x:c>
      <x:c r="B10" s="3" t="s">
        <x:v>784</x:v>
      </x:c>
      <x:c r="C10" s="3" t="s">
        <x:v>785</x:v>
      </x:c>
      <x:c r="D10" s="3" t="s">
        <x:v>786</x:v>
      </x:c>
      <x:c r="E10" s="3" t="s">
        <x:v>787</x:v>
      </x:c>
    </x:row>
  </x:sheetData>
  <x:pageMargins left="0.7" right="0.7" top="0.75" bottom="0.75" header="0.3" footer="0.3"/>
</x:worksheet>
</file>

<file path=xl/worksheets/sheet8.xml><?xml version="1.0" encoding="utf-8"?>
<x:worksheet xmlns:x="http://schemas.openxmlformats.org/spreadsheetml/2006/main">
  <x:sheetFormatPr defaultColWidth="9" defaultRowHeight="14"/>
  <x:cols>
    <x:col min="1" max="1" width="6" customWidth="1"/>
    <x:col min="2" max="2" width="18" customWidth="1"/>
    <x:col min="3" max="3" width="20" customWidth="1"/>
    <x:col min="4" max="4" width="18" customWidth="1"/>
    <x:col min="5" max="5" width="22" customWidth="1"/>
    <x:col min="6" max="6" width="16" customWidth="1"/>
    <x:col min="7" max="7" width="14" customWidth="1"/>
    <x:col min="8" max="8" width="12" customWidth="1"/>
    <x:col min="9" max="9" width="10" customWidth="1"/>
    <x:col min="10" max="10" width="30" customWidth="1"/>
    <x:col min="11" max="11" width="50" customWidth="1"/>
    <x:col min="12" max="12" width="60" customWidth="1"/>
    <x:col min="13" max="14" width="40" customWidth="1"/>
    <x:col min="15" max="15" width="8" customWidth="1"/>
    <x:col min="16" max="16" width="16" customWidth="1"/>
    <x:col min="17" max="17" width="30" customWidth="1"/>
    <x:col min="18" max="20" width="8" customWidth="1"/>
    <x:col min="21" max="21" width="10" customWidth="1"/>
    <x:col min="22" max="22" width="12" customWidth="1"/>
    <x:col min="23" max="23" width="40" customWidth="1"/>
    <x:col min="24" max="24" width="30" customWidth="1"/>
    <x:col min="25" max="25" width="18" customWidth="1"/>
  </x:cols>
  <x:sheetData>
    <x:row r="1" ht="30" customHeight="1">
      <x:c r="A1" s="1" t="s">
        <x:v>16</x:v>
      </x:c>
      <x:c r="B1" s="1" t="s">
        <x:v>17</x:v>
      </x:c>
      <x:c r="C1" s="1" t="s">
        <x:v>18</x:v>
      </x:c>
      <x:c r="D1" s="1" t="s">
        <x:v>19</x:v>
      </x:c>
      <x:c r="E1" s="1" t="s">
        <x:v>20</x:v>
      </x:c>
      <x:c r="F1" s="1" t="s">
        <x:v>21</x:v>
      </x:c>
      <x:c r="G1" s="1" t="s">
        <x:v>22</x:v>
      </x:c>
      <x:c r="H1" s="1" t="s">
        <x:v>23</x:v>
      </x:c>
      <x:c r="I1" s="1" t="s">
        <x:v>24</x:v>
      </x:c>
      <x:c r="J1" s="1" t="s">
        <x:v>25</x:v>
      </x:c>
      <x:c r="K1" s="1" t="s">
        <x:v>26</x:v>
      </x:c>
      <x:c r="L1" s="1" t="s">
        <x:v>27</x:v>
      </x:c>
      <x:c r="M1" s="1" t="s">
        <x:v>28</x:v>
      </x:c>
      <x:c r="N1" s="1" t="s">
        <x:v>29</x:v>
      </x:c>
      <x:c r="O1" s="1" t="s">
        <x:v>30</x:v>
      </x:c>
      <x:c r="P1" s="1" t="s">
        <x:v>31</x:v>
      </x:c>
      <x:c r="Q1" s="1" t="s">
        <x:v>32</x:v>
      </x:c>
      <x:c r="R1" s="1" t="s">
        <x:v>33</x:v>
      </x:c>
      <x:c r="S1" s="1" t="s">
        <x:v>34</x:v>
      </x:c>
      <x:c r="T1" s="1" t="s">
        <x:v>35</x:v>
      </x:c>
      <x:c r="U1" s="1" t="s">
        <x:v>36</x:v>
      </x:c>
      <x:c r="V1" s="1" t="s">
        <x:v>37</x:v>
      </x:c>
      <x:c r="W1" s="1" t="s">
        <x:v>38</x:v>
      </x:c>
      <x:c r="X1" s="1" t="s">
        <x:v>39</x:v>
      </x:c>
      <x:c r="Y1" s="1" t="s">
        <x:v>40</x:v>
      </x:c>
    </x:row>
    <x:row r="2" ht="25" customHeight="1">
      <x:c r="A2" s="3" t="s">
        <x:v>1</x:v>
      </x:c>
      <x:c r="B2" s="3" t="s">
        <x:v>41</x:v>
      </x:c>
      <x:c r="C2" s="3" t="s">
        <x:v>42</x:v>
      </x:c>
      <x:c r="D2" s="3" t="s">
        <x:v>43</x:v>
      </x:c>
      <x:c r="E2" s="3" t="s">
        <x:v>44</x:v>
      </x:c>
      <x:c r="F2" s="3" t="s">
        <x:v>11</x:v>
      </x:c>
      <x:c r="G2" s="3" t="s">
        <x:v>45</x:v>
      </x:c>
      <x:c r="H2" s="3" t="s">
        <x:v>46</x:v>
      </x:c>
      <x:c r="I2" s="3" t="s">
        <x:v>47</x:v>
      </x:c>
      <x:c r="J2" s="3" t="s">
        <x:v>1</x:v>
      </x:c>
      <x:c r="K2" s="3" t="s">
        <x:v>48</x:v>
      </x:c>
      <x:c r="L2" s="3" t="s">
        <x:v>49</x:v>
      </x:c>
      <x:c r="M2" s="3" t="s">
        <x:v>50</x:v>
      </x:c>
      <x:c r="N2" s="3" t="s">
        <x:v>51</x:v>
      </x:c>
      <x:c r="O2" s="3" t="s">
        <x:v>52</x:v>
      </x:c>
      <x:c r="P2" s="3" t="s">
        <x:v>53</x:v>
      </x:c>
      <x:c r="Q2" s="3" t="s">
        <x:v>54</x:v>
      </x:c>
      <x:c r="R2" s="3" t="s">
        <x:v>1</x:v>
      </x:c>
      <x:c r="S2" s="3" t="s">
        <x:v>1</x:v>
      </x:c>
      <x:c r="T2" s="3" t="s">
        <x:v>1</x:v>
      </x:c>
      <x:c r="U2" s="3" t="s">
        <x:v>55</x:v>
      </x:c>
      <x:c r="V2" s="3" t="s">
        <x:v>55</x:v>
      </x:c>
      <x:c r="W2" s="3" t="s">
        <x:v>56</x:v>
      </x:c>
      <x:c r="X2" s="3" t="s">
        <x:v>57</x:v>
      </x:c>
      <x:c r="Y2" s="3" t="s">
        <x:v>55</x:v>
      </x:c>
    </x:row>
    <x:row r="3" ht="25" customHeight="1">
      <x:c r="A3" s="3" t="s">
        <x:v>58</x:v>
      </x:c>
      <x:c r="B3" s="3" t="s">
        <x:v>59</x:v>
      </x:c>
      <x:c r="C3" s="3" t="s">
        <x:v>42</x:v>
      </x:c>
      <x:c r="D3" s="3" t="s">
        <x:v>43</x:v>
      </x:c>
      <x:c r="E3" s="3" t="s">
        <x:v>60</x:v>
      </x:c>
      <x:c r="F3" s="3" t="s">
        <x:v>61</x:v>
      </x:c>
      <x:c r="G3" s="3" t="s">
        <x:v>45</x:v>
      </x:c>
      <x:c r="H3" s="3" t="s">
        <x:v>46</x:v>
      </x:c>
      <x:c r="I3" s="3" t="s">
        <x:v>47</x:v>
      </x:c>
      <x:c r="J3" s="3" t="s">
        <x:v>1</x:v>
      </x:c>
      <x:c r="K3" s="3" t="s">
        <x:v>62</x:v>
      </x:c>
      <x:c r="L3" s="3" t="s">
        <x:v>63</x:v>
      </x:c>
      <x:c r="M3" s="3" t="s">
        <x:v>64</x:v>
      </x:c>
      <x:c r="N3" s="3" t="s">
        <x:v>65</x:v>
      </x:c>
      <x:c r="O3" s="3" t="s">
        <x:v>52</x:v>
      </x:c>
      <x:c r="P3" s="3" t="s">
        <x:v>66</x:v>
      </x:c>
      <x:c r="Q3" s="3" t="s">
        <x:v>67</x:v>
      </x:c>
      <x:c r="R3" s="3" t="s">
        <x:v>1</x:v>
      </x:c>
      <x:c r="S3" s="3" t="s">
        <x:v>1</x:v>
      </x:c>
      <x:c r="T3" s="3" t="s">
        <x:v>1</x:v>
      </x:c>
      <x:c r="U3" s="3" t="s">
        <x:v>55</x:v>
      </x:c>
      <x:c r="V3" s="3" t="s">
        <x:v>55</x:v>
      </x:c>
      <x:c r="W3" s="3" t="s">
        <x:v>68</x:v>
      </x:c>
      <x:c r="X3" s="3" t="s">
        <x:v>1</x:v>
      </x:c>
      <x:c r="Y3" s="3" t="s">
        <x:v>55</x:v>
      </x:c>
    </x:row>
    <x:row r="4" ht="25" customHeight="1">
      <x:c r="A4" s="3" t="s">
        <x:v>69</x:v>
      </x:c>
      <x:c r="B4" s="3" t="s">
        <x:v>59</x:v>
      </x:c>
      <x:c r="C4" s="3" t="s">
        <x:v>42</x:v>
      </x:c>
      <x:c r="D4" s="3" t="s">
        <x:v>43</x:v>
      </x:c>
      <x:c r="E4" s="3" t="s">
        <x:v>60</x:v>
      </x:c>
      <x:c r="F4" s="3" t="s">
        <x:v>61</x:v>
      </x:c>
      <x:c r="G4" s="3" t="s">
        <x:v>45</x:v>
      </x:c>
      <x:c r="H4" s="3" t="s">
        <x:v>46</x:v>
      </x:c>
      <x:c r="I4" s="3" t="s">
        <x:v>47</x:v>
      </x:c>
      <x:c r="J4" s="3" t="s">
        <x:v>1</x:v>
      </x:c>
      <x:c r="K4" s="3" t="s">
        <x:v>70</x:v>
      </x:c>
      <x:c r="L4" s="3" t="s">
        <x:v>71</x:v>
      </x:c>
      <x:c r="M4" s="3" t="s">
        <x:v>72</x:v>
      </x:c>
      <x:c r="N4" s="3" t="s">
        <x:v>73</x:v>
      </x:c>
      <x:c r="O4" s="3" t="s">
        <x:v>52</x:v>
      </x:c>
      <x:c r="P4" s="3" t="s">
        <x:v>66</x:v>
      </x:c>
      <x:c r="Q4" s="3" t="s">
        <x:v>74</x:v>
      </x:c>
      <x:c r="R4" s="3" t="s">
        <x:v>1</x:v>
      </x:c>
      <x:c r="S4" s="3" t="s">
        <x:v>1</x:v>
      </x:c>
      <x:c r="T4" s="3" t="s">
        <x:v>1</x:v>
      </x:c>
      <x:c r="U4" s="3" t="s">
        <x:v>55</x:v>
      </x:c>
      <x:c r="V4" s="3" t="s">
        <x:v>55</x:v>
      </x:c>
      <x:c r="W4" s="3" t="s">
        <x:v>75</x:v>
      </x:c>
      <x:c r="X4" s="3" t="s">
        <x:v>1</x:v>
      </x:c>
      <x:c r="Y4" s="3" t="s">
        <x:v>55</x:v>
      </x:c>
    </x:row>
    <x:row r="5" ht="25" customHeight="1">
      <x:c r="A5" s="3" t="s">
        <x:v>76</x:v>
      </x:c>
      <x:c r="B5" s="3" t="s">
        <x:v>77</x:v>
      </x:c>
      <x:c r="C5" s="3" t="s">
        <x:v>42</x:v>
      </x:c>
      <x:c r="D5" s="3" t="s">
        <x:v>43</x:v>
      </x:c>
      <x:c r="E5" s="3" t="s">
        <x:v>78</x:v>
      </x:c>
      <x:c r="F5" s="3" t="s">
        <x:v>11</x:v>
      </x:c>
      <x:c r="G5" s="3" t="s">
        <x:v>45</x:v>
      </x:c>
      <x:c r="H5" s="3" t="s">
        <x:v>46</x:v>
      </x:c>
      <x:c r="I5" s="3" t="s">
        <x:v>47</x:v>
      </x:c>
      <x:c r="J5" s="3" t="s">
        <x:v>1</x:v>
      </x:c>
      <x:c r="K5" s="3" t="s">
        <x:v>79</x:v>
      </x:c>
      <x:c r="L5" s="3" t="s">
        <x:v>80</x:v>
      </x:c>
      <x:c r="M5" s="3" t="s">
        <x:v>81</x:v>
      </x:c>
      <x:c r="N5" s="3" t="s">
        <x:v>82</x:v>
      </x:c>
      <x:c r="O5" s="3" t="s">
        <x:v>52</x:v>
      </x:c>
      <x:c r="P5" s="3" t="s">
        <x:v>53</x:v>
      </x:c>
      <x:c r="Q5" s="3" t="s">
        <x:v>83</x:v>
      </x:c>
      <x:c r="R5" s="3" t="s">
        <x:v>1</x:v>
      </x:c>
      <x:c r="S5" s="3" t="s">
        <x:v>1</x:v>
      </x:c>
      <x:c r="T5" s="3" t="s">
        <x:v>1</x:v>
      </x:c>
      <x:c r="U5" s="3" t="s">
        <x:v>55</x:v>
      </x:c>
      <x:c r="V5" s="3" t="s">
        <x:v>55</x:v>
      </x:c>
      <x:c r="W5" s="3" t="s">
        <x:v>84</x:v>
      </x:c>
      <x:c r="X5" s="3" t="s">
        <x:v>85</x:v>
      </x:c>
      <x:c r="Y5" s="3" t="s">
        <x:v>55</x:v>
      </x:c>
    </x:row>
    <x:row r="6" ht="25" customHeight="1">
      <x:c r="A6" s="3" t="s">
        <x:v>86</x:v>
      </x:c>
      <x:c r="B6" s="3" t="s">
        <x:v>87</x:v>
      </x:c>
      <x:c r="C6" s="3" t="s">
        <x:v>42</x:v>
      </x:c>
      <x:c r="D6" s="3" t="s">
        <x:v>88</x:v>
      </x:c>
      <x:c r="E6" s="3" t="s">
        <x:v>78</x:v>
      </x:c>
      <x:c r="F6" s="3" t="s">
        <x:v>11</x:v>
      </x:c>
      <x:c r="G6" s="3" t="s">
        <x:v>45</x:v>
      </x:c>
      <x:c r="H6" s="3" t="s">
        <x:v>46</x:v>
      </x:c>
      <x:c r="I6" s="3" t="s">
        <x:v>47</x:v>
      </x:c>
      <x:c r="J6" s="3" t="s">
        <x:v>1</x:v>
      </x:c>
      <x:c r="K6" s="3" t="s">
        <x:v>89</x:v>
      </x:c>
      <x:c r="L6" s="3" t="s">
        <x:v>90</x:v>
      </x:c>
      <x:c r="M6" s="3" t="s">
        <x:v>91</x:v>
      </x:c>
      <x:c r="N6" s="3" t="s">
        <x:v>92</x:v>
      </x:c>
      <x:c r="O6" s="3" t="s">
        <x:v>52</x:v>
      </x:c>
      <x:c r="P6" s="3" t="s">
        <x:v>53</x:v>
      </x:c>
      <x:c r="Q6" s="3" t="s">
        <x:v>93</x:v>
      </x:c>
      <x:c r="R6" s="3" t="s">
        <x:v>1</x:v>
      </x:c>
      <x:c r="S6" s="3" t="s">
        <x:v>1</x:v>
      </x:c>
      <x:c r="T6" s="3" t="s">
        <x:v>1</x:v>
      </x:c>
      <x:c r="U6" s="3" t="s">
        <x:v>55</x:v>
      </x:c>
      <x:c r="V6" s="3" t="s">
        <x:v>55</x:v>
      </x:c>
      <x:c r="W6" s="3" t="s">
        <x:v>94</x:v>
      </x:c>
      <x:c r="X6" s="3" t="s">
        <x:v>95</x:v>
      </x:c>
      <x:c r="Y6" s="3" t="s">
        <x:v>55</x:v>
      </x:c>
    </x:row>
    <x:row r="7" ht="25" customHeight="1">
      <x:c r="A7" s="3" t="s">
        <x:v>96</x:v>
      </x:c>
      <x:c r="B7" s="3" t="s">
        <x:v>97</x:v>
      </x:c>
      <x:c r="C7" s="3" t="s">
        <x:v>42</x:v>
      </x:c>
      <x:c r="D7" s="3" t="s">
        <x:v>88</x:v>
      </x:c>
      <x:c r="E7" s="3" t="s">
        <x:v>98</x:v>
      </x:c>
      <x:c r="F7" s="3" t="s">
        <x:v>11</x:v>
      </x:c>
      <x:c r="G7" s="3" t="s">
        <x:v>45</x:v>
      </x:c>
      <x:c r="H7" s="3" t="s">
        <x:v>46</x:v>
      </x:c>
      <x:c r="I7" s="3" t="s">
        <x:v>47</x:v>
      </x:c>
      <x:c r="J7" s="3" t="s">
        <x:v>1</x:v>
      </x:c>
      <x:c r="K7" s="3" t="s">
        <x:v>99</x:v>
      </x:c>
      <x:c r="L7" s="3" t="s">
        <x:v>100</x:v>
      </x:c>
      <x:c r="M7" s="3" t="s">
        <x:v>101</x:v>
      </x:c>
      <x:c r="N7" s="3" t="s">
        <x:v>102</x:v>
      </x:c>
      <x:c r="O7" s="3" t="s">
        <x:v>52</x:v>
      </x:c>
      <x:c r="P7" s="3" t="s">
        <x:v>53</x:v>
      </x:c>
      <x:c r="Q7" s="3" t="s">
        <x:v>103</x:v>
      </x:c>
      <x:c r="R7" s="3" t="s">
        <x:v>1</x:v>
      </x:c>
      <x:c r="S7" s="3" t="s">
        <x:v>1</x:v>
      </x:c>
      <x:c r="T7" s="3" t="s">
        <x:v>1</x:v>
      </x:c>
      <x:c r="U7" s="3" t="s">
        <x:v>55</x:v>
      </x:c>
      <x:c r="V7" s="3" t="s">
        <x:v>55</x:v>
      </x:c>
      <x:c r="W7" s="3" t="s">
        <x:v>94</x:v>
      </x:c>
      <x:c r="X7" s="3" t="s">
        <x:v>104</x:v>
      </x:c>
      <x:c r="Y7" s="3" t="s">
        <x:v>55</x:v>
      </x:c>
    </x:row>
    <x:row r="8" ht="25" customHeight="1">
      <x:c r="A8" s="3" t="s">
        <x:v>105</x:v>
      </x:c>
      <x:c r="B8" s="3" t="s">
        <x:v>97</x:v>
      </x:c>
      <x:c r="C8" s="3" t="s">
        <x:v>42</x:v>
      </x:c>
      <x:c r="D8" s="3" t="s">
        <x:v>88</x:v>
      </x:c>
      <x:c r="E8" s="3" t="s">
        <x:v>98</x:v>
      </x:c>
      <x:c r="F8" s="3" t="s">
        <x:v>11</x:v>
      </x:c>
      <x:c r="G8" s="3" t="s">
        <x:v>45</x:v>
      </x:c>
      <x:c r="H8" s="3" t="s">
        <x:v>46</x:v>
      </x:c>
      <x:c r="I8" s="3" t="s">
        <x:v>47</x:v>
      </x:c>
      <x:c r="J8" s="3" t="s">
        <x:v>1</x:v>
      </x:c>
      <x:c r="K8" s="3" t="s">
        <x:v>106</x:v>
      </x:c>
      <x:c r="L8" s="3" t="s">
        <x:v>107</x:v>
      </x:c>
      <x:c r="M8" s="3" t="s">
        <x:v>108</x:v>
      </x:c>
      <x:c r="N8" s="3" t="s">
        <x:v>109</x:v>
      </x:c>
      <x:c r="O8" s="3" t="s">
        <x:v>52</x:v>
      </x:c>
      <x:c r="P8" s="3" t="s">
        <x:v>53</x:v>
      </x:c>
      <x:c r="Q8" s="3" t="s">
        <x:v>110</x:v>
      </x:c>
      <x:c r="R8" s="3" t="s">
        <x:v>1</x:v>
      </x:c>
      <x:c r="S8" s="3" t="s">
        <x:v>1</x:v>
      </x:c>
      <x:c r="T8" s="3" t="s">
        <x:v>1</x:v>
      </x:c>
      <x:c r="U8" s="3" t="s">
        <x:v>55</x:v>
      </x:c>
      <x:c r="V8" s="3" t="s">
        <x:v>55</x:v>
      </x:c>
      <x:c r="W8" s="3" t="s">
        <x:v>111</x:v>
      </x:c>
      <x:c r="X8" s="3" t="s">
        <x:v>112</x:v>
      </x:c>
      <x:c r="Y8" s="3" t="s">
        <x:v>55</x:v>
      </x:c>
    </x:row>
    <x:row r="9" ht="25" customHeight="1">
      <x:c r="A9" s="3" t="s">
        <x:v>113</x:v>
      </x:c>
      <x:c r="B9" s="3" t="s">
        <x:v>114</x:v>
      </x:c>
      <x:c r="C9" s="3" t="s">
        <x:v>42</x:v>
      </x:c>
      <x:c r="D9" s="3" t="s">
        <x:v>115</x:v>
      </x:c>
      <x:c r="E9" s="3" t="s">
        <x:v>116</x:v>
      </x:c>
      <x:c r="F9" s="3" t="s">
        <x:v>61</x:v>
      </x:c>
      <x:c r="G9" s="3" t="s">
        <x:v>117</x:v>
      </x:c>
      <x:c r="H9" s="3" t="s">
        <x:v>118</x:v>
      </x:c>
      <x:c r="I9" s="3" t="s">
        <x:v>47</x:v>
      </x:c>
      <x:c r="J9" s="3" t="s">
        <x:v>1</x:v>
      </x:c>
      <x:c r="K9" s="3" t="s">
        <x:v>119</x:v>
      </x:c>
      <x:c r="L9" s="3" t="s">
        <x:v>120</x:v>
      </x:c>
      <x:c r="M9" s="3" t="s">
        <x:v>121</x:v>
      </x:c>
      <x:c r="N9" s="3" t="s">
        <x:v>122</x:v>
      </x:c>
      <x:c r="O9" s="3" t="s">
        <x:v>52</x:v>
      </x:c>
      <x:c r="P9" s="3" t="s">
        <x:v>66</x:v>
      </x:c>
      <x:c r="Q9" s="3" t="s">
        <x:v>123</x:v>
      </x:c>
      <x:c r="R9" s="3" t="s">
        <x:v>1</x:v>
      </x:c>
      <x:c r="S9" s="3" t="s">
        <x:v>1</x:v>
      </x:c>
      <x:c r="T9" s="3" t="s">
        <x:v>1</x:v>
      </x:c>
      <x:c r="U9" s="3" t="s">
        <x:v>55</x:v>
      </x:c>
      <x:c r="V9" s="3" t="s">
        <x:v>55</x:v>
      </x:c>
      <x:c r="W9" s="3" t="s">
        <x:v>124</x:v>
      </x:c>
      <x:c r="X9" s="3" t="s">
        <x:v>125</x:v>
      </x:c>
      <x:c r="Y9" s="3" t="s">
        <x:v>55</x:v>
      </x:c>
    </x:row>
    <x:row r="10" ht="25" customHeight="1">
      <x:c r="A10" s="3" t="s">
        <x:v>126</x:v>
      </x:c>
      <x:c r="B10" s="3" t="s">
        <x:v>127</x:v>
      </x:c>
      <x:c r="C10" s="3" t="s">
        <x:v>42</x:v>
      </x:c>
      <x:c r="D10" s="3" t="s">
        <x:v>128</x:v>
      </x:c>
      <x:c r="E10" s="3" t="s">
        <x:v>129</x:v>
      </x:c>
      <x:c r="F10" s="3" t="s">
        <x:v>11</x:v>
      </x:c>
      <x:c r="G10" s="3" t="s">
        <x:v>117</x:v>
      </x:c>
      <x:c r="H10" s="3" t="s">
        <x:v>118</x:v>
      </x:c>
      <x:c r="I10" s="3" t="s">
        <x:v>47</x:v>
      </x:c>
      <x:c r="J10" s="3" t="s">
        <x:v>1</x:v>
      </x:c>
      <x:c r="K10" s="3" t="s">
        <x:v>130</x:v>
      </x:c>
      <x:c r="L10" s="3" t="s">
        <x:v>131</x:v>
      </x:c>
      <x:c r="M10" s="3" t="s">
        <x:v>132</x:v>
      </x:c>
      <x:c r="N10" s="3" t="s">
        <x:v>133</x:v>
      </x:c>
      <x:c r="O10" s="3" t="s">
        <x:v>52</x:v>
      </x:c>
      <x:c r="P10" s="3" t="s">
        <x:v>53</x:v>
      </x:c>
      <x:c r="Q10" s="3" t="s">
        <x:v>134</x:v>
      </x:c>
      <x:c r="R10" s="3" t="s">
        <x:v>1</x:v>
      </x:c>
      <x:c r="S10" s="3" t="s">
        <x:v>1</x:v>
      </x:c>
      <x:c r="T10" s="3" t="s">
        <x:v>1</x:v>
      </x:c>
      <x:c r="U10" s="3" t="s">
        <x:v>55</x:v>
      </x:c>
      <x:c r="V10" s="3" t="s">
        <x:v>55</x:v>
      </x:c>
      <x:c r="W10" s="3" t="s">
        <x:v>135</x:v>
      </x:c>
      <x:c r="X10" s="3" t="s">
        <x:v>1</x:v>
      </x:c>
      <x:c r="Y10" s="3" t="s">
        <x:v>55</x:v>
      </x:c>
    </x:row>
    <x:row r="11" ht="25" customHeight="1">
      <x:c r="A11" s="3" t="s">
        <x:v>136</x:v>
      </x:c>
      <x:c r="B11" s="3" t="s">
        <x:v>137</x:v>
      </x:c>
      <x:c r="C11" s="3" t="s">
        <x:v>42</x:v>
      </x:c>
      <x:c r="D11" s="3" t="s">
        <x:v>138</x:v>
      </x:c>
      <x:c r="E11" s="3" t="s">
        <x:v>139</x:v>
      </x:c>
      <x:c r="F11" s="3" t="s">
        <x:v>11</x:v>
      </x:c>
      <x:c r="G11" s="3" t="s">
        <x:v>140</x:v>
      </x:c>
      <x:c r="H11" s="3" t="s">
        <x:v>118</x:v>
      </x:c>
      <x:c r="I11" s="3" t="s">
        <x:v>47</x:v>
      </x:c>
      <x:c r="J11" s="3" t="s">
        <x:v>1</x:v>
      </x:c>
      <x:c r="K11" s="3" t="s">
        <x:v>141</x:v>
      </x:c>
      <x:c r="L11" s="3" t="s">
        <x:v>142</x:v>
      </x:c>
      <x:c r="M11" s="3" t="s">
        <x:v>143</x:v>
      </x:c>
      <x:c r="N11" s="3" t="s">
        <x:v>144</x:v>
      </x:c>
      <x:c r="O11" s="3" t="s">
        <x:v>52</x:v>
      </x:c>
      <x:c r="P11" s="3" t="s">
        <x:v>53</x:v>
      </x:c>
      <x:c r="Q11" s="3" t="s">
        <x:v>145</x:v>
      </x:c>
      <x:c r="R11" s="3" t="s">
        <x:v>1</x:v>
      </x:c>
      <x:c r="S11" s="3" t="s">
        <x:v>1</x:v>
      </x:c>
      <x:c r="T11" s="3" t="s">
        <x:v>1</x:v>
      </x:c>
      <x:c r="U11" s="3" t="s">
        <x:v>55</x:v>
      </x:c>
      <x:c r="V11" s="3" t="s">
        <x:v>55</x:v>
      </x:c>
      <x:c r="W11" s="3" t="s">
        <x:v>146</x:v>
      </x:c>
      <x:c r="X11" s="3" t="s">
        <x:v>147</x:v>
      </x:c>
      <x:c r="Y11" s="3" t="s">
        <x:v>55</x:v>
      </x:c>
    </x:row>
    <x:row r="12" ht="25" customHeight="1">
      <x:c r="A12" s="3" t="s">
        <x:v>148</x:v>
      </x:c>
      <x:c r="B12" s="3" t="s">
        <x:v>137</x:v>
      </x:c>
      <x:c r="C12" s="3" t="s">
        <x:v>42</x:v>
      </x:c>
      <x:c r="D12" s="3" t="s">
        <x:v>138</x:v>
      </x:c>
      <x:c r="E12" s="3" t="s">
        <x:v>139</x:v>
      </x:c>
      <x:c r="F12" s="3" t="s">
        <x:v>149</x:v>
      </x:c>
      <x:c r="G12" s="3" t="s">
        <x:v>140</x:v>
      </x:c>
      <x:c r="H12" s="3" t="s">
        <x:v>118</x:v>
      </x:c>
      <x:c r="I12" s="3" t="s">
        <x:v>47</x:v>
      </x:c>
      <x:c r="J12" s="3" t="s">
        <x:v>1</x:v>
      </x:c>
      <x:c r="K12" s="3" t="s">
        <x:v>150</x:v>
      </x:c>
      <x:c r="L12" s="3" t="s">
        <x:v>151</x:v>
      </x:c>
      <x:c r="M12" s="3" t="s">
        <x:v>152</x:v>
      </x:c>
      <x:c r="N12" s="3" t="s">
        <x:v>144</x:v>
      </x:c>
      <x:c r="O12" s="3" t="s">
        <x:v>52</x:v>
      </x:c>
      <x:c r="P12" s="3" t="s">
        <x:v>153</x:v>
      </x:c>
      <x:c r="Q12" s="3" t="s">
        <x:v>154</x:v>
      </x:c>
      <x:c r="R12" s="3" t="s">
        <x:v>1</x:v>
      </x:c>
      <x:c r="S12" s="3" t="s">
        <x:v>1</x:v>
      </x:c>
      <x:c r="T12" s="3" t="s">
        <x:v>1</x:v>
      </x:c>
      <x:c r="U12" s="3" t="s">
        <x:v>55</x:v>
      </x:c>
      <x:c r="V12" s="3" t="s">
        <x:v>55</x:v>
      </x:c>
      <x:c r="W12" s="3" t="s">
        <x:v>155</x:v>
      </x:c>
      <x:c r="X12" s="3" t="s">
        <x:v>1</x:v>
      </x:c>
      <x:c r="Y12" s="3" t="s">
        <x:v>156</x:v>
      </x:c>
    </x:row>
    <x:row r="13" ht="25" customHeight="1">
      <x:c r="A13" s="3" t="s">
        <x:v>157</x:v>
      </x:c>
      <x:c r="B13" s="3" t="s">
        <x:v>137</x:v>
      </x:c>
      <x:c r="C13" s="3" t="s">
        <x:v>42</x:v>
      </x:c>
      <x:c r="D13" s="3" t="s">
        <x:v>138</x:v>
      </x:c>
      <x:c r="E13" s="3" t="s">
        <x:v>139</x:v>
      </x:c>
      <x:c r="F13" s="3" t="s">
        <x:v>149</x:v>
      </x:c>
      <x:c r="G13" s="3" t="s">
        <x:v>140</x:v>
      </x:c>
      <x:c r="H13" s="3" t="s">
        <x:v>118</x:v>
      </x:c>
      <x:c r="I13" s="3" t="s">
        <x:v>47</x:v>
      </x:c>
      <x:c r="J13" s="3" t="s">
        <x:v>1</x:v>
      </x:c>
      <x:c r="K13" s="3" t="s">
        <x:v>158</x:v>
      </x:c>
      <x:c r="L13" s="3" t="s">
        <x:v>159</x:v>
      </x:c>
      <x:c r="M13" s="3" t="s">
        <x:v>160</x:v>
      </x:c>
      <x:c r="N13" s="3" t="s">
        <x:v>144</x:v>
      </x:c>
      <x:c r="O13" s="3" t="s">
        <x:v>52</x:v>
      </x:c>
      <x:c r="P13" s="3" t="s">
        <x:v>153</x:v>
      </x:c>
      <x:c r="Q13" s="3" t="s">
        <x:v>161</x:v>
      </x:c>
      <x:c r="R13" s="3" t="s">
        <x:v>1</x:v>
      </x:c>
      <x:c r="S13" s="3" t="s">
        <x:v>1</x:v>
      </x:c>
      <x:c r="T13" s="3" t="s">
        <x:v>1</x:v>
      </x:c>
      <x:c r="U13" s="3" t="s">
        <x:v>55</x:v>
      </x:c>
      <x:c r="V13" s="3" t="s">
        <x:v>55</x:v>
      </x:c>
      <x:c r="W13" s="3" t="s">
        <x:v>162</x:v>
      </x:c>
      <x:c r="X13" s="3" t="s">
        <x:v>1</x:v>
      </x:c>
      <x:c r="Y13" s="3" t="s">
        <x:v>156</x:v>
      </x:c>
    </x:row>
    <x:row r="14" ht="25" customHeight="1">
      <x:c r="A14" s="3" t="s">
        <x:v>163</x:v>
      </x:c>
      <x:c r="B14" s="3" t="s">
        <x:v>164</x:v>
      </x:c>
      <x:c r="C14" s="3" t="s">
        <x:v>42</x:v>
      </x:c>
      <x:c r="D14" s="3" t="s">
        <x:v>165</x:v>
      </x:c>
      <x:c r="E14" s="3" t="s">
        <x:v>166</x:v>
      </x:c>
      <x:c r="F14" s="3" t="s">
        <x:v>61</x:v>
      </x:c>
      <x:c r="G14" s="3" t="s">
        <x:v>167</x:v>
      </x:c>
      <x:c r="H14" s="3" t="s">
        <x:v>118</x:v>
      </x:c>
      <x:c r="I14" s="3" t="s">
        <x:v>47</x:v>
      </x:c>
      <x:c r="J14" s="3" t="s">
        <x:v>1</x:v>
      </x:c>
      <x:c r="K14" s="3" t="s">
        <x:v>168</x:v>
      </x:c>
      <x:c r="L14" s="3" t="s">
        <x:v>169</x:v>
      </x:c>
      <x:c r="M14" s="3" t="s">
        <x:v>170</x:v>
      </x:c>
      <x:c r="N14" s="3" t="s">
        <x:v>171</x:v>
      </x:c>
      <x:c r="O14" s="3" t="s">
        <x:v>52</x:v>
      </x:c>
      <x:c r="P14" s="3" t="s">
        <x:v>66</x:v>
      </x:c>
      <x:c r="Q14" s="3" t="s">
        <x:v>172</x:v>
      </x:c>
      <x:c r="R14" s="3" t="s">
        <x:v>1</x:v>
      </x:c>
      <x:c r="S14" s="3" t="s">
        <x:v>1</x:v>
      </x:c>
      <x:c r="T14" s="3" t="s">
        <x:v>1</x:v>
      </x:c>
      <x:c r="U14" s="3" t="s">
        <x:v>55</x:v>
      </x:c>
      <x:c r="V14" s="3" t="s">
        <x:v>55</x:v>
      </x:c>
      <x:c r="W14" s="3" t="s">
        <x:v>173</x:v>
      </x:c>
      <x:c r="X14" s="3" t="s">
        <x:v>1</x:v>
      </x:c>
      <x:c r="Y14" s="3" t="s">
        <x:v>55</x:v>
      </x:c>
    </x:row>
    <x:row r="15" ht="25" customHeight="1">
      <x:c r="A15" s="3" t="s">
        <x:v>174</x:v>
      </x:c>
      <x:c r="B15" s="3" t="s">
        <x:v>175</x:v>
      </x:c>
      <x:c r="C15" s="3" t="s">
        <x:v>42</x:v>
      </x:c>
      <x:c r="D15" s="3" t="s">
        <x:v>176</x:v>
      </x:c>
      <x:c r="E15" s="3" t="s">
        <x:v>177</x:v>
      </x:c>
      <x:c r="F15" s="3" t="s">
        <x:v>11</x:v>
      </x:c>
      <x:c r="G15" s="3" t="s">
        <x:v>167</x:v>
      </x:c>
      <x:c r="H15" s="3" t="s">
        <x:v>118</x:v>
      </x:c>
      <x:c r="I15" s="3" t="s">
        <x:v>47</x:v>
      </x:c>
      <x:c r="J15" s="3" t="s">
        <x:v>1</x:v>
      </x:c>
      <x:c r="K15" s="3" t="s">
        <x:v>178</x:v>
      </x:c>
      <x:c r="L15" s="3" t="s">
        <x:v>179</x:v>
      </x:c>
      <x:c r="M15" s="3" t="s">
        <x:v>180</x:v>
      </x:c>
      <x:c r="N15" s="3" t="s">
        <x:v>181</x:v>
      </x:c>
      <x:c r="O15" s="3" t="s">
        <x:v>52</x:v>
      </x:c>
      <x:c r="P15" s="3" t="s">
        <x:v>53</x:v>
      </x:c>
      <x:c r="Q15" s="3" t="s">
        <x:v>182</x:v>
      </x:c>
      <x:c r="R15" s="3" t="s">
        <x:v>1</x:v>
      </x:c>
      <x:c r="S15" s="3" t="s">
        <x:v>1</x:v>
      </x:c>
      <x:c r="T15" s="3" t="s">
        <x:v>1</x:v>
      </x:c>
      <x:c r="U15" s="3" t="s">
        <x:v>55</x:v>
      </x:c>
      <x:c r="V15" s="3" t="s">
        <x:v>55</x:v>
      </x:c>
      <x:c r="W15" s="3" t="s">
        <x:v>183</x:v>
      </x:c>
      <x:c r="X15" s="3" t="s">
        <x:v>184</x:v>
      </x:c>
      <x:c r="Y15" s="3" t="s">
        <x:v>55</x:v>
      </x:c>
    </x:row>
    <x:row r="16" ht="25" customHeight="1">
      <x:c r="A16" s="3" t="s">
        <x:v>185</x:v>
      </x:c>
      <x:c r="B16" s="3" t="s">
        <x:v>186</x:v>
      </x:c>
      <x:c r="C16" s="3" t="s">
        <x:v>42</x:v>
      </x:c>
      <x:c r="D16" s="3" t="s">
        <x:v>165</x:v>
      </x:c>
      <x:c r="E16" s="3" t="s">
        <x:v>166</x:v>
      </x:c>
      <x:c r="F16" s="3" t="s">
        <x:v>61</x:v>
      </x:c>
      <x:c r="G16" s="3" t="s">
        <x:v>167</x:v>
      </x:c>
      <x:c r="H16" s="3" t="s">
        <x:v>118</x:v>
      </x:c>
      <x:c r="I16" s="3" t="s">
        <x:v>47</x:v>
      </x:c>
      <x:c r="J16" s="3" t="s">
        <x:v>1</x:v>
      </x:c>
      <x:c r="K16" s="3" t="s">
        <x:v>187</x:v>
      </x:c>
      <x:c r="L16" s="3" t="s">
        <x:v>188</x:v>
      </x:c>
      <x:c r="M16" s="3" t="s">
        <x:v>189</x:v>
      </x:c>
      <x:c r="N16" s="3" t="s">
        <x:v>190</x:v>
      </x:c>
      <x:c r="O16" s="3" t="s">
        <x:v>52</x:v>
      </x:c>
      <x:c r="P16" s="3" t="s">
        <x:v>66</x:v>
      </x:c>
      <x:c r="Q16" s="3" t="s">
        <x:v>191</x:v>
      </x:c>
      <x:c r="R16" s="3" t="s">
        <x:v>1</x:v>
      </x:c>
      <x:c r="S16" s="3" t="s">
        <x:v>1</x:v>
      </x:c>
      <x:c r="T16" s="3" t="s">
        <x:v>1</x:v>
      </x:c>
      <x:c r="U16" s="3" t="s">
        <x:v>55</x:v>
      </x:c>
      <x:c r="V16" s="3" t="s">
        <x:v>55</x:v>
      </x:c>
      <x:c r="W16" s="3" t="s">
        <x:v>192</x:v>
      </x:c>
      <x:c r="X16" s="3" t="s">
        <x:v>1</x:v>
      </x:c>
      <x:c r="Y16" s="3" t="s">
        <x:v>55</x:v>
      </x:c>
    </x:row>
    <x:row r="17" ht="25" customHeight="1">
      <x:c r="A17" s="3" t="s">
        <x:v>193</x:v>
      </x:c>
      <x:c r="B17" s="3" t="s">
        <x:v>77</x:v>
      </x:c>
      <x:c r="C17" s="3" t="s">
        <x:v>42</x:v>
      </x:c>
      <x:c r="D17" s="3" t="s">
        <x:v>194</x:v>
      </x:c>
      <x:c r="E17" s="3" t="s">
        <x:v>195</x:v>
      </x:c>
      <x:c r="F17" s="3" t="s">
        <x:v>11</x:v>
      </x:c>
      <x:c r="G17" s="3" t="s">
        <x:v>196</x:v>
      </x:c>
      <x:c r="H17" s="3" t="s">
        <x:v>118</x:v>
      </x:c>
      <x:c r="I17" s="3" t="s">
        <x:v>47</x:v>
      </x:c>
      <x:c r="J17" s="3" t="s">
        <x:v>1</x:v>
      </x:c>
      <x:c r="K17" s="3" t="s">
        <x:v>197</x:v>
      </x:c>
      <x:c r="L17" s="3" t="s">
        <x:v>198</x:v>
      </x:c>
      <x:c r="M17" s="3" t="s">
        <x:v>199</x:v>
      </x:c>
      <x:c r="N17" s="3" t="s">
        <x:v>200</x:v>
      </x:c>
      <x:c r="O17" s="3" t="s">
        <x:v>52</x:v>
      </x:c>
      <x:c r="P17" s="3" t="s">
        <x:v>53</x:v>
      </x:c>
      <x:c r="Q17" s="3" t="s">
        <x:v>201</x:v>
      </x:c>
      <x:c r="R17" s="3" t="s">
        <x:v>1</x:v>
      </x:c>
      <x:c r="S17" s="3" t="s">
        <x:v>1</x:v>
      </x:c>
      <x:c r="T17" s="3" t="s">
        <x:v>1</x:v>
      </x:c>
      <x:c r="U17" s="3" t="s">
        <x:v>55</x:v>
      </x:c>
      <x:c r="V17" s="3" t="s">
        <x:v>55</x:v>
      </x:c>
      <x:c r="W17" s="3" t="s">
        <x:v>202</x:v>
      </x:c>
      <x:c r="X17" s="3" t="s">
        <x:v>203</x:v>
      </x:c>
      <x:c r="Y17" s="3" t="s">
        <x:v>55</x:v>
      </x:c>
    </x:row>
    <x:row r="18" ht="25" customHeight="1">
      <x:c r="A18" s="3" t="s">
        <x:v>204</x:v>
      </x:c>
      <x:c r="B18" s="3" t="s">
        <x:v>205</x:v>
      </x:c>
      <x:c r="C18" s="3" t="s">
        <x:v>42</x:v>
      </x:c>
      <x:c r="D18" s="3" t="s">
        <x:v>206</x:v>
      </x:c>
      <x:c r="E18" s="3" t="s">
        <x:v>207</x:v>
      </x:c>
      <x:c r="F18" s="3" t="s">
        <x:v>61</x:v>
      </x:c>
      <x:c r="G18" s="3" t="s">
        <x:v>196</x:v>
      </x:c>
      <x:c r="H18" s="3" t="s">
        <x:v>118</x:v>
      </x:c>
      <x:c r="I18" s="3" t="s">
        <x:v>47</x:v>
      </x:c>
      <x:c r="J18" s="3" t="s">
        <x:v>1</x:v>
      </x:c>
      <x:c r="K18" s="3" t="s">
        <x:v>208</x:v>
      </x:c>
      <x:c r="L18" s="3" t="s">
        <x:v>209</x:v>
      </x:c>
      <x:c r="M18" s="3" t="s">
        <x:v>210</x:v>
      </x:c>
      <x:c r="N18" s="3" t="s">
        <x:v>211</x:v>
      </x:c>
      <x:c r="O18" s="3" t="s">
        <x:v>52</x:v>
      </x:c>
      <x:c r="P18" s="3" t="s">
        <x:v>66</x:v>
      </x:c>
      <x:c r="Q18" s="3" t="s">
        <x:v>212</x:v>
      </x:c>
      <x:c r="R18" s="3" t="s">
        <x:v>1</x:v>
      </x:c>
      <x:c r="S18" s="3" t="s">
        <x:v>1</x:v>
      </x:c>
      <x:c r="T18" s="3" t="s">
        <x:v>1</x:v>
      </x:c>
      <x:c r="U18" s="3" t="s">
        <x:v>55</x:v>
      </x:c>
      <x:c r="V18" s="3" t="s">
        <x:v>55</x:v>
      </x:c>
      <x:c r="W18" s="3" t="s">
        <x:v>213</x:v>
      </x:c>
      <x:c r="X18" s="3" t="s">
        <x:v>214</x:v>
      </x:c>
      <x:c r="Y18" s="3" t="s">
        <x:v>55</x:v>
      </x:c>
    </x:row>
    <x:row r="19" ht="25" customHeight="1">
      <x:c r="A19" s="3" t="s">
        <x:v>215</x:v>
      </x:c>
      <x:c r="B19" s="3" t="s">
        <x:v>97</x:v>
      </x:c>
      <x:c r="C19" s="3" t="s">
        <x:v>42</x:v>
      </x:c>
      <x:c r="D19" s="3" t="s">
        <x:v>216</x:v>
      </x:c>
      <x:c r="E19" s="3" t="s">
        <x:v>217</x:v>
      </x:c>
      <x:c r="F19" s="3" t="s">
        <x:v>11</x:v>
      </x:c>
      <x:c r="G19" s="3" t="s">
        <x:v>218</x:v>
      </x:c>
      <x:c r="H19" s="3" t="s">
        <x:v>118</x:v>
      </x:c>
      <x:c r="I19" s="3" t="s">
        <x:v>47</x:v>
      </x:c>
      <x:c r="J19" s="3" t="s">
        <x:v>1</x:v>
      </x:c>
      <x:c r="K19" s="3" t="s">
        <x:v>219</x:v>
      </x:c>
      <x:c r="L19" s="3" t="s">
        <x:v>220</x:v>
      </x:c>
      <x:c r="M19" s="3" t="s">
        <x:v>221</x:v>
      </x:c>
      <x:c r="N19" s="3" t="s">
        <x:v>222</x:v>
      </x:c>
      <x:c r="O19" s="3" t="s">
        <x:v>52</x:v>
      </x:c>
      <x:c r="P19" s="3" t="s">
        <x:v>53</x:v>
      </x:c>
      <x:c r="Q19" s="3" t="s">
        <x:v>223</x:v>
      </x:c>
      <x:c r="R19" s="3" t="s">
        <x:v>1</x:v>
      </x:c>
      <x:c r="S19" s="3" t="s">
        <x:v>1</x:v>
      </x:c>
      <x:c r="T19" s="3" t="s">
        <x:v>1</x:v>
      </x:c>
      <x:c r="U19" s="3" t="s">
        <x:v>55</x:v>
      </x:c>
      <x:c r="V19" s="3" t="s">
        <x:v>55</x:v>
      </x:c>
      <x:c r="W19" s="3" t="s">
        <x:v>224</x:v>
      </x:c>
      <x:c r="X19" s="3" t="s">
        <x:v>225</x:v>
      </x:c>
      <x:c r="Y19" s="3" t="s">
        <x:v>55</x:v>
      </x:c>
    </x:row>
    <x:row r="20" ht="25" customHeight="1">
      <x:c r="A20" s="3" t="s">
        <x:v>226</x:v>
      </x:c>
      <x:c r="B20" s="3" t="s">
        <x:v>205</x:v>
      </x:c>
      <x:c r="C20" s="3" t="s">
        <x:v>42</x:v>
      </x:c>
      <x:c r="D20" s="3" t="s">
        <x:v>88</x:v>
      </x:c>
      <x:c r="E20" s="3" t="s">
        <x:v>227</x:v>
      </x:c>
      <x:c r="F20" s="3" t="s">
        <x:v>61</x:v>
      </x:c>
      <x:c r="G20" s="3" t="s">
        <x:v>228</x:v>
      </x:c>
      <x:c r="H20" s="3" t="s">
        <x:v>229</x:v>
      </x:c>
      <x:c r="I20" s="3" t="s">
        <x:v>47</x:v>
      </x:c>
      <x:c r="J20" s="3" t="s">
        <x:v>1</x:v>
      </x:c>
      <x:c r="K20" s="3" t="s">
        <x:v>230</x:v>
      </x:c>
      <x:c r="L20" s="3" t="s">
        <x:v>231</x:v>
      </x:c>
      <x:c r="M20" s="3" t="s">
        <x:v>232</x:v>
      </x:c>
      <x:c r="N20" s="3" t="s">
        <x:v>233</x:v>
      </x:c>
      <x:c r="O20" s="3" t="s">
        <x:v>52</x:v>
      </x:c>
      <x:c r="P20" s="3" t="s">
        <x:v>66</x:v>
      </x:c>
      <x:c r="Q20" s="3" t="s">
        <x:v>234</x:v>
      </x:c>
      <x:c r="R20" s="3" t="s">
        <x:v>1</x:v>
      </x:c>
      <x:c r="S20" s="3" t="s">
        <x:v>1</x:v>
      </x:c>
      <x:c r="T20" s="3" t="s">
        <x:v>1</x:v>
      </x:c>
      <x:c r="U20" s="3" t="s">
        <x:v>55</x:v>
      </x:c>
      <x:c r="V20" s="3" t="s">
        <x:v>55</x:v>
      </x:c>
      <x:c r="W20" s="3" t="s">
        <x:v>235</x:v>
      </x:c>
      <x:c r="X20" s="3" t="s">
        <x:v>1</x:v>
      </x:c>
      <x:c r="Y20" s="3" t="s">
        <x:v>55</x:v>
      </x:c>
    </x:row>
    <x:row r="21" ht="25" customHeight="1">
      <x:c r="A21" s="3" t="s">
        <x:v>236</x:v>
      </x:c>
      <x:c r="B21" s="3" t="s">
        <x:v>237</x:v>
      </x:c>
      <x:c r="C21" s="3" t="s">
        <x:v>42</x:v>
      </x:c>
      <x:c r="D21" s="3" t="s">
        <x:v>88</x:v>
      </x:c>
      <x:c r="E21" s="3" t="s">
        <x:v>78</x:v>
      </x:c>
      <x:c r="F21" s="3" t="s">
        <x:v>11</x:v>
      </x:c>
      <x:c r="G21" s="3" t="s">
        <x:v>238</x:v>
      </x:c>
      <x:c r="H21" s="3" t="s">
        <x:v>239</x:v>
      </x:c>
      <x:c r="I21" s="3" t="s">
        <x:v>47</x:v>
      </x:c>
      <x:c r="J21" s="3" t="s">
        <x:v>1</x:v>
      </x:c>
      <x:c r="K21" s="3" t="s">
        <x:v>240</x:v>
      </x:c>
      <x:c r="L21" s="3" t="s">
        <x:v>241</x:v>
      </x:c>
      <x:c r="M21" s="3" t="s">
        <x:v>242</x:v>
      </x:c>
      <x:c r="N21" s="3" t="s">
        <x:v>243</x:v>
      </x:c>
      <x:c r="O21" s="3" t="s">
        <x:v>52</x:v>
      </x:c>
      <x:c r="P21" s="3" t="s">
        <x:v>53</x:v>
      </x:c>
      <x:c r="Q21" s="3" t="s">
        <x:v>244</x:v>
      </x:c>
      <x:c r="R21" s="3" t="s">
        <x:v>1</x:v>
      </x:c>
      <x:c r="S21" s="3" t="s">
        <x:v>1</x:v>
      </x:c>
      <x:c r="T21" s="3" t="s">
        <x:v>1</x:v>
      </x:c>
      <x:c r="U21" s="3" t="s">
        <x:v>55</x:v>
      </x:c>
      <x:c r="V21" s="3" t="s">
        <x:v>55</x:v>
      </x:c>
      <x:c r="W21" s="3" t="s">
        <x:v>245</x:v>
      </x:c>
      <x:c r="X21" s="3" t="s">
        <x:v>1</x:v>
      </x:c>
      <x:c r="Y21" s="3" t="s">
        <x:v>55</x:v>
      </x:c>
    </x:row>
    <x:row r="22" ht="25" customHeight="1">
      <x:c r="A22" s="3" t="s">
        <x:v>246</x:v>
      </x:c>
      <x:c r="B22" s="3" t="s">
        <x:v>247</x:v>
      </x:c>
      <x:c r="C22" s="3" t="s">
        <x:v>42</x:v>
      </x:c>
      <x:c r="D22" s="3" t="s">
        <x:v>88</x:v>
      </x:c>
      <x:c r="E22" s="3" t="s">
        <x:v>44</x:v>
      </x:c>
      <x:c r="F22" s="3" t="s">
        <x:v>11</x:v>
      </x:c>
      <x:c r="G22" s="3" t="s">
        <x:v>45</x:v>
      </x:c>
      <x:c r="H22" s="3" t="s">
        <x:v>46</x:v>
      </x:c>
      <x:c r="I22" s="3" t="s">
        <x:v>47</x:v>
      </x:c>
      <x:c r="J22" s="3" t="s">
        <x:v>1</x:v>
      </x:c>
      <x:c r="K22" s="3" t="s">
        <x:v>248</x:v>
      </x:c>
      <x:c r="L22" s="3" t="s">
        <x:v>249</x:v>
      </x:c>
      <x:c r="M22" s="3" t="s">
        <x:v>250</x:v>
      </x:c>
      <x:c r="N22" s="3" t="s">
        <x:v>251</x:v>
      </x:c>
      <x:c r="O22" s="3" t="s">
        <x:v>52</x:v>
      </x:c>
      <x:c r="P22" s="3" t="s">
        <x:v>53</x:v>
      </x:c>
      <x:c r="Q22" s="3" t="s">
        <x:v>252</x:v>
      </x:c>
      <x:c r="R22" s="3" t="s">
        <x:v>1</x:v>
      </x:c>
      <x:c r="S22" s="3" t="s">
        <x:v>1</x:v>
      </x:c>
      <x:c r="T22" s="3" t="s">
        <x:v>1</x:v>
      </x:c>
      <x:c r="U22" s="3" t="s">
        <x:v>55</x:v>
      </x:c>
      <x:c r="V22" s="3" t="s">
        <x:v>55</x:v>
      </x:c>
      <x:c r="W22" s="3" t="s">
        <x:v>253</x:v>
      </x:c>
      <x:c r="X22" s="3" t="s">
        <x:v>1</x:v>
      </x:c>
      <x:c r="Y22" s="3" t="s">
        <x:v>55</x:v>
      </x:c>
    </x:row>
    <x:row r="23" ht="25" customHeight="1">
      <x:c r="A23" s="3" t="s">
        <x:v>254</x:v>
      </x:c>
      <x:c r="B23" s="3" t="s">
        <x:v>255</x:v>
      </x:c>
      <x:c r="C23" s="3" t="s">
        <x:v>42</x:v>
      </x:c>
      <x:c r="D23" s="3" t="s">
        <x:v>88</x:v>
      </x:c>
      <x:c r="E23" s="3" t="s">
        <x:v>78</x:v>
      </x:c>
      <x:c r="F23" s="3" t="s">
        <x:v>11</x:v>
      </x:c>
      <x:c r="G23" s="3" t="s">
        <x:v>256</x:v>
      </x:c>
      <x:c r="H23" s="3" t="s">
        <x:v>257</x:v>
      </x:c>
      <x:c r="I23" s="3" t="s">
        <x:v>47</x:v>
      </x:c>
      <x:c r="J23" s="3" t="s">
        <x:v>1</x:v>
      </x:c>
      <x:c r="K23" s="3" t="s">
        <x:v>258</x:v>
      </x:c>
      <x:c r="L23" s="3" t="s">
        <x:v>259</x:v>
      </x:c>
      <x:c r="M23" s="3" t="s">
        <x:v>260</x:v>
      </x:c>
      <x:c r="N23" s="3" t="s">
        <x:v>261</x:v>
      </x:c>
      <x:c r="O23" s="3" t="s">
        <x:v>52</x:v>
      </x:c>
      <x:c r="P23" s="3" t="s">
        <x:v>53</x:v>
      </x:c>
      <x:c r="Q23" s="3" t="s">
        <x:v>262</x:v>
      </x:c>
      <x:c r="R23" s="3" t="s">
        <x:v>1</x:v>
      </x:c>
      <x:c r="S23" s="3" t="s">
        <x:v>1</x:v>
      </x:c>
      <x:c r="T23" s="3" t="s">
        <x:v>1</x:v>
      </x:c>
      <x:c r="U23" s="3" t="s">
        <x:v>55</x:v>
      </x:c>
      <x:c r="V23" s="3" t="s">
        <x:v>55</x:v>
      </x:c>
      <x:c r="W23" s="3" t="s">
        <x:v>263</x:v>
      </x:c>
      <x:c r="X23" s="3" t="s">
        <x:v>1</x:v>
      </x:c>
      <x:c r="Y23" s="3" t="s">
        <x:v>55</x:v>
      </x:c>
    </x:row>
    <x:row r="24" ht="25" customHeight="1">
      <x:c r="A24" s="3" t="s">
        <x:v>264</x:v>
      </x:c>
      <x:c r="B24" s="3" t="s">
        <x:v>265</x:v>
      </x:c>
      <x:c r="C24" s="3" t="s">
        <x:v>42</x:v>
      </x:c>
      <x:c r="D24" s="3" t="s">
        <x:v>88</x:v>
      </x:c>
      <x:c r="E24" s="3" t="s">
        <x:v>98</x:v>
      </x:c>
      <x:c r="F24" s="3" t="s">
        <x:v>11</x:v>
      </x:c>
      <x:c r="G24" s="3" t="s">
        <x:v>45</x:v>
      </x:c>
      <x:c r="H24" s="3" t="s">
        <x:v>46</x:v>
      </x:c>
      <x:c r="I24" s="3" t="s">
        <x:v>47</x:v>
      </x:c>
      <x:c r="J24" s="3" t="s">
        <x:v>1</x:v>
      </x:c>
      <x:c r="K24" s="3" t="s">
        <x:v>266</x:v>
      </x:c>
      <x:c r="L24" s="3" t="s">
        <x:v>267</x:v>
      </x:c>
      <x:c r="M24" s="3" t="s">
        <x:v>268</x:v>
      </x:c>
      <x:c r="N24" s="3" t="s">
        <x:v>269</x:v>
      </x:c>
      <x:c r="O24" s="3" t="s">
        <x:v>52</x:v>
      </x:c>
      <x:c r="P24" s="3" t="s">
        <x:v>53</x:v>
      </x:c>
      <x:c r="Q24" s="3" t="s">
        <x:v>270</x:v>
      </x:c>
      <x:c r="R24" s="3" t="s">
        <x:v>1</x:v>
      </x:c>
      <x:c r="S24" s="3" t="s">
        <x:v>1</x:v>
      </x:c>
      <x:c r="T24" s="3" t="s">
        <x:v>1</x:v>
      </x:c>
      <x:c r="U24" s="3" t="s">
        <x:v>55</x:v>
      </x:c>
      <x:c r="V24" s="3" t="s">
        <x:v>55</x:v>
      </x:c>
      <x:c r="W24" s="3" t="s">
        <x:v>271</x:v>
      </x:c>
      <x:c r="X24" s="3" t="s">
        <x:v>1</x:v>
      </x:c>
      <x:c r="Y24" s="3" t="s">
        <x:v>55</x:v>
      </x:c>
    </x:row>
    <x:row r="25" ht="25" customHeight="1">
      <x:c r="A25" s="3" t="s">
        <x:v>272</x:v>
      </x:c>
      <x:c r="B25" s="3" t="s">
        <x:v>265</x:v>
      </x:c>
      <x:c r="C25" s="3" t="s">
        <x:v>42</x:v>
      </x:c>
      <x:c r="D25" s="3" t="s">
        <x:v>88</x:v>
      </x:c>
      <x:c r="E25" s="3" t="s">
        <x:v>78</x:v>
      </x:c>
      <x:c r="F25" s="3" t="s">
        <x:v>11</x:v>
      </x:c>
      <x:c r="G25" s="3" t="s">
        <x:v>273</x:v>
      </x:c>
      <x:c r="H25" s="3" t="s">
        <x:v>274</x:v>
      </x:c>
      <x:c r="I25" s="3" t="s">
        <x:v>47</x:v>
      </x:c>
      <x:c r="J25" s="3" t="s">
        <x:v>1</x:v>
      </x:c>
      <x:c r="K25" s="3" t="s">
        <x:v>275</x:v>
      </x:c>
      <x:c r="L25" s="3" t="s">
        <x:v>276</x:v>
      </x:c>
      <x:c r="M25" s="3" t="s">
        <x:v>277</x:v>
      </x:c>
      <x:c r="N25" s="3" t="s">
        <x:v>278</x:v>
      </x:c>
      <x:c r="O25" s="3" t="s">
        <x:v>52</x:v>
      </x:c>
      <x:c r="P25" s="3" t="s">
        <x:v>53</x:v>
      </x:c>
      <x:c r="Q25" s="3" t="s">
        <x:v>279</x:v>
      </x:c>
      <x:c r="R25" s="3" t="s">
        <x:v>1</x:v>
      </x:c>
      <x:c r="S25" s="3" t="s">
        <x:v>1</x:v>
      </x:c>
      <x:c r="T25" s="3" t="s">
        <x:v>1</x:v>
      </x:c>
      <x:c r="U25" s="3" t="s">
        <x:v>55</x:v>
      </x:c>
      <x:c r="V25" s="3" t="s">
        <x:v>55</x:v>
      </x:c>
      <x:c r="W25" s="3" t="s">
        <x:v>280</x:v>
      </x:c>
      <x:c r="X25" s="3" t="s">
        <x:v>1</x:v>
      </x:c>
      <x:c r="Y25" s="3" t="s">
        <x:v>55</x:v>
      </x:c>
    </x:row>
    <x:row r="26" ht="25" customHeight="1">
      <x:c r="A26" s="3" t="s">
        <x:v>281</x:v>
      </x:c>
      <x:c r="B26" s="3" t="s">
        <x:v>205</x:v>
      </x:c>
      <x:c r="C26" s="3" t="s">
        <x:v>282</x:v>
      </x:c>
      <x:c r="D26" s="3" t="s">
        <x:v>283</x:v>
      </x:c>
      <x:c r="E26" s="3" t="s">
        <x:v>125</x:v>
      </x:c>
      <x:c r="F26" s="3" t="s">
        <x:v>284</x:v>
      </x:c>
      <x:c r="G26" s="3" t="s">
        <x:v>117</x:v>
      </x:c>
      <x:c r="H26" s="3" t="s">
        <x:v>118</x:v>
      </x:c>
      <x:c r="I26" s="3" t="s">
        <x:v>47</x:v>
      </x:c>
      <x:c r="J26" s="3" t="s">
        <x:v>1</x:v>
      </x:c>
      <x:c r="K26" s="3" t="s">
        <x:v>285</x:v>
      </x:c>
      <x:c r="L26" s="3" t="s">
        <x:v>286</x:v>
      </x:c>
      <x:c r="M26" s="3" t="s">
        <x:v>287</x:v>
      </x:c>
      <x:c r="N26" s="3" t="s">
        <x:v>288</x:v>
      </x:c>
      <x:c r="O26" s="3" t="s">
        <x:v>52</x:v>
      </x:c>
      <x:c r="P26" s="3" t="s">
        <x:v>153</x:v>
      </x:c>
      <x:c r="Q26" s="3" t="s">
        <x:v>289</x:v>
      </x:c>
      <x:c r="R26" s="3" t="s">
        <x:v>1</x:v>
      </x:c>
      <x:c r="S26" s="3" t="s">
        <x:v>1</x:v>
      </x:c>
      <x:c r="T26" s="3" t="s">
        <x:v>1</x:v>
      </x:c>
      <x:c r="U26" s="3" t="s">
        <x:v>55</x:v>
      </x:c>
      <x:c r="V26" s="3" t="s">
        <x:v>156</x:v>
      </x:c>
      <x:c r="W26" s="3" t="s">
        <x:v>290</x:v>
      </x:c>
      <x:c r="X26" s="3" t="s">
        <x:v>291</x:v>
      </x:c>
      <x:c r="Y26" s="3" t="s">
        <x:v>156</x:v>
      </x:c>
    </x:row>
    <x:row r="27" ht="25" customHeight="1">
      <x:c r="A27" s="3" t="s">
        <x:v>292</x:v>
      </x:c>
      <x:c r="B27" s="3" t="s">
        <x:v>205</x:v>
      </x:c>
      <x:c r="C27" s="3" t="s">
        <x:v>282</x:v>
      </x:c>
      <x:c r="D27" s="3" t="s">
        <x:v>283</x:v>
      </x:c>
      <x:c r="E27" s="3" t="s">
        <x:v>125</x:v>
      </x:c>
      <x:c r="F27" s="3" t="s">
        <x:v>293</x:v>
      </x:c>
      <x:c r="G27" s="3" t="s">
        <x:v>117</x:v>
      </x:c>
      <x:c r="H27" s="3" t="s">
        <x:v>118</x:v>
      </x:c>
      <x:c r="I27" s="3" t="s">
        <x:v>47</x:v>
      </x:c>
      <x:c r="J27" s="3" t="s">
        <x:v>1</x:v>
      </x:c>
      <x:c r="K27" s="3" t="s">
        <x:v>294</x:v>
      </x:c>
      <x:c r="L27" s="3" t="s">
        <x:v>295</x:v>
      </x:c>
      <x:c r="M27" s="3" t="s">
        <x:v>296</x:v>
      </x:c>
      <x:c r="N27" s="3" t="s">
        <x:v>288</x:v>
      </x:c>
      <x:c r="O27" s="3" t="s">
        <x:v>52</x:v>
      </x:c>
      <x:c r="P27" s="3" t="s">
        <x:v>153</x:v>
      </x:c>
      <x:c r="Q27" s="3" t="s">
        <x:v>297</x:v>
      </x:c>
      <x:c r="R27" s="3" t="s">
        <x:v>1</x:v>
      </x:c>
      <x:c r="S27" s="3" t="s">
        <x:v>1</x:v>
      </x:c>
      <x:c r="T27" s="3" t="s">
        <x:v>1</x:v>
      </x:c>
      <x:c r="U27" s="3" t="s">
        <x:v>55</x:v>
      </x:c>
      <x:c r="V27" s="3" t="s">
        <x:v>156</x:v>
      </x:c>
      <x:c r="W27" s="3" t="s">
        <x:v>298</x:v>
      </x:c>
      <x:c r="X27" s="3" t="s">
        <x:v>299</x:v>
      </x:c>
      <x:c r="Y27" s="3" t="s">
        <x:v>156</x:v>
      </x:c>
    </x:row>
    <x:row r="28" ht="25" customHeight="1">
      <x:c r="A28" s="3" t="s">
        <x:v>300</x:v>
      </x:c>
      <x:c r="B28" s="3" t="s">
        <x:v>205</x:v>
      </x:c>
      <x:c r="C28" s="3" t="s">
        <x:v>282</x:v>
      </x:c>
      <x:c r="D28" s="3" t="s">
        <x:v>283</x:v>
      </x:c>
      <x:c r="E28" s="3" t="s">
        <x:v>125</x:v>
      </x:c>
      <x:c r="F28" s="3" t="s">
        <x:v>301</x:v>
      </x:c>
      <x:c r="G28" s="3" t="s">
        <x:v>117</x:v>
      </x:c>
      <x:c r="H28" s="3" t="s">
        <x:v>118</x:v>
      </x:c>
      <x:c r="I28" s="3" t="s">
        <x:v>47</x:v>
      </x:c>
      <x:c r="J28" s="3" t="s">
        <x:v>1</x:v>
      </x:c>
      <x:c r="K28" s="3" t="s">
        <x:v>302</x:v>
      </x:c>
      <x:c r="L28" s="3" t="s">
        <x:v>303</x:v>
      </x:c>
      <x:c r="M28" s="3" t="s">
        <x:v>304</x:v>
      </x:c>
      <x:c r="N28" s="3" t="s">
        <x:v>288</x:v>
      </x:c>
      <x:c r="O28" s="3" t="s">
        <x:v>52</x:v>
      </x:c>
      <x:c r="P28" s="3" t="s">
        <x:v>153</x:v>
      </x:c>
      <x:c r="Q28" s="3" t="s">
        <x:v>305</x:v>
      </x:c>
      <x:c r="R28" s="3" t="s">
        <x:v>1</x:v>
      </x:c>
      <x:c r="S28" s="3" t="s">
        <x:v>1</x:v>
      </x:c>
      <x:c r="T28" s="3" t="s">
        <x:v>1</x:v>
      </x:c>
      <x:c r="U28" s="3" t="s">
        <x:v>55</x:v>
      </x:c>
      <x:c r="V28" s="3" t="s">
        <x:v>156</x:v>
      </x:c>
      <x:c r="W28" s="3" t="s">
        <x:v>298</x:v>
      </x:c>
      <x:c r="X28" s="3" t="s">
        <x:v>299</x:v>
      </x:c>
      <x:c r="Y28" s="3" t="s">
        <x:v>156</x:v>
      </x:c>
    </x:row>
    <x:row r="29" ht="25" customHeight="1">
      <x:c r="A29" s="3" t="s">
        <x:v>306</x:v>
      </x:c>
      <x:c r="B29" s="3" t="s">
        <x:v>127</x:v>
      </x:c>
      <x:c r="C29" s="3" t="s">
        <x:v>307</x:v>
      </x:c>
      <x:c r="D29" s="3" t="s">
        <x:v>128</x:v>
      </x:c>
      <x:c r="E29" s="3" t="s">
        <x:v>129</x:v>
      </x:c>
      <x:c r="F29" s="3" t="s">
        <x:v>308</x:v>
      </x:c>
      <x:c r="G29" s="3" t="s">
        <x:v>117</x:v>
      </x:c>
      <x:c r="H29" s="3" t="s">
        <x:v>118</x:v>
      </x:c>
      <x:c r="I29" s="3" t="s">
        <x:v>47</x:v>
      </x:c>
      <x:c r="J29" s="3" t="s">
        <x:v>1</x:v>
      </x:c>
      <x:c r="K29" s="3" t="s">
        <x:v>309</x:v>
      </x:c>
      <x:c r="L29" s="3" t="s">
        <x:v>310</x:v>
      </x:c>
      <x:c r="M29" s="3" t="s">
        <x:v>311</x:v>
      </x:c>
      <x:c r="N29" s="3" t="s">
        <x:v>133</x:v>
      </x:c>
      <x:c r="O29" s="3" t="s">
        <x:v>52</x:v>
      </x:c>
      <x:c r="P29" s="3" t="s">
        <x:v>153</x:v>
      </x:c>
      <x:c r="Q29" s="3" t="s">
        <x:v>312</x:v>
      </x:c>
      <x:c r="R29" s="3" t="s">
        <x:v>1</x:v>
      </x:c>
      <x:c r="S29" s="3" t="s">
        <x:v>1</x:v>
      </x:c>
      <x:c r="T29" s="3" t="s">
        <x:v>1</x:v>
      </x:c>
      <x:c r="U29" s="3" t="s">
        <x:v>55</x:v>
      </x:c>
      <x:c r="V29" s="3" t="s">
        <x:v>55</x:v>
      </x:c>
      <x:c r="W29" s="3" t="s">
        <x:v>313</x:v>
      </x:c>
      <x:c r="X29" s="3" t="s">
        <x:v>314</x:v>
      </x:c>
      <x:c r="Y29" s="3" t="s">
        <x:v>156</x:v>
      </x:c>
    </x:row>
    <x:row r="30" ht="25" customHeight="1">
      <x:c r="A30" s="3" t="s">
        <x:v>315</x:v>
      </x:c>
      <x:c r="B30" s="3" t="s">
        <x:v>114</x:v>
      </x:c>
      <x:c r="C30" s="3" t="s">
        <x:v>316</x:v>
      </x:c>
      <x:c r="D30" s="3" t="s">
        <x:v>317</x:v>
      </x:c>
      <x:c r="E30" s="3" t="s">
        <x:v>318</x:v>
      </x:c>
      <x:c r="F30" s="3" t="s">
        <x:v>11</x:v>
      </x:c>
      <x:c r="G30" s="3" t="s">
        <x:v>45</x:v>
      </x:c>
      <x:c r="H30" s="3" t="s">
        <x:v>46</x:v>
      </x:c>
      <x:c r="I30" s="3" t="s">
        <x:v>319</x:v>
      </x:c>
      <x:c r="J30" s="3" t="s">
        <x:v>320</x:v>
      </x:c>
      <x:c r="K30" s="3" t="s">
        <x:v>321</x:v>
      </x:c>
      <x:c r="L30" s="3" t="s">
        <x:v>322</x:v>
      </x:c>
      <x:c r="M30" s="3" t="s">
        <x:v>323</x:v>
      </x:c>
      <x:c r="N30" s="3" t="s">
        <x:v>324</x:v>
      </x:c>
      <x:c r="O30" s="3" t="s">
        <x:v>52</x:v>
      </x:c>
      <x:c r="P30" s="3" t="s">
        <x:v>53</x:v>
      </x:c>
      <x:c r="Q30" s="3" t="s">
        <x:v>325</x:v>
      </x:c>
      <x:c r="R30" s="3" t="s">
        <x:v>326</x:v>
      </x:c>
      <x:c r="S30" s="3" t="s">
        <x:v>327</x:v>
      </x:c>
      <x:c r="T30" s="3" t="s">
        <x:v>328</x:v>
      </x:c>
      <x:c r="U30" s="3" t="s">
        <x:v>55</x:v>
      </x:c>
      <x:c r="V30" s="3" t="s">
        <x:v>55</x:v>
      </x:c>
      <x:c r="W30" s="3" t="s">
        <x:v>329</x:v>
      </x:c>
      <x:c r="X30" s="3" t="s">
        <x:v>1</x:v>
      </x:c>
      <x:c r="Y30" s="3" t="s">
        <x:v>55</x:v>
      </x:c>
    </x:row>
    <x:row r="31" ht="25" customHeight="1">
      <x:c r="A31" s="9" t="s">
        <x:v>330</x:v>
      </x:c>
      <x:c r="B31" s="9" t="s">
        <x:v>331</x:v>
      </x:c>
      <x:c r="C31" s="9" t="s">
        <x:v>316</x:v>
      </x:c>
      <x:c r="D31" s="9" t="s">
        <x:v>332</x:v>
      </x:c>
      <x:c r="E31" s="9" t="s">
        <x:v>318</x:v>
      </x:c>
      <x:c r="F31" s="9" t="s">
        <x:v>333</x:v>
      </x:c>
      <x:c r="G31" s="9" t="s">
        <x:v>45</x:v>
      </x:c>
      <x:c r="H31" s="9" t="s">
        <x:v>46</x:v>
      </x:c>
      <x:c r="I31" s="9" t="s">
        <x:v>47</x:v>
      </x:c>
      <x:c r="J31" s="9" t="s">
        <x:v>1</x:v>
      </x:c>
      <x:c r="K31" s="9" t="s">
        <x:v>334</x:v>
      </x:c>
      <x:c r="L31" s="9" t="s">
        <x:v>335</x:v>
      </x:c>
      <x:c r="M31" s="9" t="s">
        <x:v>336</x:v>
      </x:c>
      <x:c r="N31" s="9" t="s">
        <x:v>324</x:v>
      </x:c>
      <x:c r="O31" s="9" t="s">
        <x:v>337</x:v>
      </x:c>
      <x:c r="P31" s="9" t="s">
        <x:v>338</x:v>
      </x:c>
      <x:c r="Q31" s="9" t="s">
        <x:v>339</x:v>
      </x:c>
      <x:c r="R31" s="9" t="s">
        <x:v>1</x:v>
      </x:c>
      <x:c r="S31" s="9" t="s">
        <x:v>1</x:v>
      </x:c>
      <x:c r="T31" s="9" t="s">
        <x:v>1</x:v>
      </x:c>
      <x:c r="U31" s="9" t="s">
        <x:v>55</x:v>
      </x:c>
      <x:c r="V31" s="9" t="s">
        <x:v>55</x:v>
      </x:c>
      <x:c r="W31" s="9" t="s">
        <x:v>340</x:v>
      </x:c>
      <x:c r="X31" s="9" t="s">
        <x:v>1</x:v>
      </x:c>
      <x:c r="Y31" s="9" t="s">
        <x:v>156</x:v>
      </x:c>
    </x:row>
    <x:row r="32" ht="25" customHeight="1">
      <x:c r="A32" s="9" t="str">
        <x:v>31</x:v>
      </x:c>
      <x:c r="B32" s="9" t="str">
        <x:v>2026-07-07</x:v>
      </x:c>
      <x:c r="C32" s="9" t="str">
        <x:v>微信视频号人工核验</x:v>
      </x:c>
      <x:c r="D32" s="9" t="str">
        <x:v>微信视频号评论区</x:v>
      </x:c>
      <x:c r="E32" s="9" t="str">
        <x:v>新疆日报维吾尔文</x:v>
      </x:c>
      <x:c r="F32" s="9" t="str">
        <x:v>用户评论/留言</x:v>
      </x:c>
      <x:c r="G32" s="9" t="str">
        <x:v>新疆维吾尔自治区</x:v>
      </x:c>
      <x:c r="H32" s="9" t="str">
        <x:v>自治区</x:v>
      </x:c>
      <x:c r="I32" s="9" t="str">
        <x:v>维吾尔文</x:v>
      </x:c>
      <x:c r="J32" s="9" t="str">
        <x:v>真正为全体人民着想的道路上会开出鲜花，并将永远繁荣发展。（机器翻译初译，待维吾尔语人员复核）</x:v>
      </x:c>
      <x:c r="K32" s="9" t="str">
        <x:v>维吾尔文用户评论</x:v>
      </x:c>
      <x:c r="L32" s="9" t="str">
        <x:v>ھەقىقىي ئومۇمىي خەلقنى ئويلاپ ماڭغان يوللاردىن گۈل ئۈنىدۇ. ھەم مەڭگۈ روناق تاپىدۇ.</x:v>
      </x:c>
      <x:c r="M32" s="9" t="str">
        <x:v>用户以维吾尔文发表评论；机器翻译显示为正向赞许表达，但最终态度仍待维吾尔语人员复核。</x:v>
      </x:c>
      <x:c r="N32" s="9" t="str">
        <x:v>https://weixin.qq.com/sph/AwzENlIwWa</x:v>
      </x:c>
      <x:c r="O32" s="9" t="str">
        <x:v>B</x:v>
      </x:c>
      <x:c r="P32" s="9" t="str">
        <x:v>待维吾尔语人员复核</x:v>
      </x:c>
      <x:c r="Q32" s="9" t="str">
        <x:v>公众态度、维吾尔文评论</x:v>
      </x:c>
      <x:c r="R32" s="9" t="n">
        <x:v>5</x:v>
      </x:c>
      <x:c r="S32" s="9" t="n">
        <x:v>1</x:v>
      </x:c>
      <x:c r="T32" s="9" t="n">
        <x:v>1</x:v>
      </x:c>
      <x:c r="U32" s="9" t="str">
        <x:v>否</x:v>
      </x:c>
      <x:c r="V32" s="9" t="str">
        <x:v>是</x:v>
      </x:c>
      <x:c r="W32" s="9" t="str">
        <x:v>已保存维吾尔文原文；中文译文仅作机器翻译辅助，最终态度待维吾尔语人员复核。</x:v>
      </x:c>
      <x:c r="X32" s="9" t="str">
        <x:v>无</x:v>
      </x:c>
      <x:c r="Y32" s="11" t="str">
        <x:v>是</x:v>
      </x:c>
    </x:row>
    <x:row r="33" ht="25" customHeight="1">
      <x:c r="A33" s="9" t="s">
        <x:v>341</x:v>
      </x:c>
      <x:c r="B33" s="9" t="s">
        <x:v>342</x:v>
      </x:c>
      <x:c r="C33" s="9" t="s">
        <x:v>316</x:v>
      </x:c>
      <x:c r="D33" s="9" t="s">
        <x:v>332</x:v>
      </x:c>
      <x:c r="E33" s="9" t="s">
        <x:v>318</x:v>
      </x:c>
      <x:c r="F33" s="9" t="s">
        <x:v>343</x:v>
      </x:c>
      <x:c r="G33" s="9" t="s">
        <x:v>45</x:v>
      </x:c>
      <x:c r="H33" s="9" t="s">
        <x:v>46</x:v>
      </x:c>
      <x:c r="I33" s="9" t="s">
        <x:v>344</x:v>
      </x:c>
      <x:c r="J33" s="9" t="s">
        <x:v>1</x:v>
      </x:c>
      <x:c r="K33" s="9" t="s">
        <x:v>345</x:v>
      </x:c>
      <x:c r="L33" s="9" t="s">
        <x:v>346</x:v>
      </x:c>
      <x:c r="M33" s="9" t="s">
        <x:v>347</x:v>
      </x:c>
      <x:c r="N33" s="9" t="s">
        <x:v>324</x:v>
      </x:c>
      <x:c r="O33" s="9" t="s">
        <x:v>337</x:v>
      </x:c>
      <x:c r="P33" s="9" t="s">
        <x:v>153</x:v>
      </x:c>
      <x:c r="Q33" s="9" t="s">
        <x:v>348</x:v>
      </x:c>
      <x:c r="R33" s="9" t="s">
        <x:v>1</x:v>
      </x:c>
      <x:c r="S33" s="9" t="s">
        <x:v>349</x:v>
      </x:c>
      <x:c r="T33" s="9" t="s">
        <x:v>1</x:v>
      </x:c>
      <x:c r="U33" s="9" t="s">
        <x:v>55</x:v>
      </x:c>
      <x:c r="V33" s="9" t="s">
        <x:v>55</x:v>
      </x:c>
      <x:c r="W33" s="9" t="s">
        <x:v>350</x:v>
      </x:c>
      <x:c r="X33" s="9" t="s">
        <x:v>1</x:v>
      </x:c>
      <x:c r="Y33" s="9" t="s">
        <x:v>156</x:v>
      </x:c>
    </x:row>
    <x:row r="34" ht="25" customHeight="1">
      <x:c r="A34" s="9" t="s">
        <x:v>351</x:v>
      </x:c>
      <x:c r="B34" s="9" t="s">
        <x:v>352</x:v>
      </x:c>
      <x:c r="C34" s="9" t="s">
        <x:v>353</x:v>
      </x:c>
      <x:c r="D34" s="9" t="s">
        <x:v>354</x:v>
      </x:c>
      <x:c r="E34" s="9" t="s">
        <x:v>355</x:v>
      </x:c>
      <x:c r="F34" s="9" t="s">
        <x:v>11</x:v>
      </x:c>
      <x:c r="G34" s="9" t="s">
        <x:v>356</x:v>
      </x:c>
      <x:c r="H34" s="9" t="s">
        <x:v>46</x:v>
      </x:c>
      <x:c r="I34" s="9" t="s">
        <x:v>47</x:v>
      </x:c>
      <x:c r="J34" s="9" t="s">
        <x:v>1</x:v>
      </x:c>
      <x:c r="K34" s="9" t="s">
        <x:v>106</x:v>
      </x:c>
      <x:c r="L34" s="9" t="s">
        <x:v>357</x:v>
      </x:c>
      <x:c r="M34" s="9" t="s">
        <x:v>358</x:v>
      </x:c>
      <x:c r="N34" s="9" t="s">
        <x:v>359</x:v>
      </x:c>
      <x:c r="O34" s="9" t="s">
        <x:v>52</x:v>
      </x:c>
      <x:c r="P34" s="9" t="s">
        <x:v>53</x:v>
      </x:c>
      <x:c r="Q34" s="9" t="s">
        <x:v>360</x:v>
      </x:c>
      <x:c r="R34" s="9" t="s">
        <x:v>1</x:v>
      </x:c>
      <x:c r="S34" s="9" t="s">
        <x:v>1</x:v>
      </x:c>
      <x:c r="T34" s="9" t="s">
        <x:v>1</x:v>
      </x:c>
      <x:c r="U34" s="9" t="s">
        <x:v>55</x:v>
      </x:c>
      <x:c r="V34" s="9" t="s">
        <x:v>55</x:v>
      </x:c>
      <x:c r="W34" s="9" t="s">
        <x:v>1</x:v>
      </x:c>
      <x:c r="X34" s="9" t="s">
        <x:v>1</x:v>
      </x:c>
      <x:c r="Y34" s="9" t="s">
        <x:v>55</x:v>
      </x:c>
    </x:row>
    <x:row r="35" ht="25" customHeight="1">
      <x:c r="A35" s="9" t="s">
        <x:v>361</x:v>
      </x:c>
      <x:c r="B35" s="9" t="s">
        <x:v>362</x:v>
      </x:c>
      <x:c r="C35" s="9" t="s">
        <x:v>363</x:v>
      </x:c>
      <x:c r="D35" s="9" t="s">
        <x:v>364</x:v>
      </x:c>
      <x:c r="E35" s="9" t="s">
        <x:v>365</x:v>
      </x:c>
      <x:c r="F35" s="9" t="s">
        <x:v>11</x:v>
      </x:c>
      <x:c r="G35" s="9" t="s">
        <x:v>366</x:v>
      </x:c>
      <x:c r="H35" s="9" t="s">
        <x:v>367</x:v>
      </x:c>
      <x:c r="I35" s="9" t="s">
        <x:v>47</x:v>
      </x:c>
      <x:c r="J35" s="9" t="s">
        <x:v>1</x:v>
      </x:c>
      <x:c r="K35" s="9" t="s">
        <x:v>368</x:v>
      </x:c>
      <x:c r="L35" s="9" t="s">
        <x:v>369</x:v>
      </x:c>
      <x:c r="M35" s="9" t="s">
        <x:v>370</x:v>
      </x:c>
      <x:c r="N35" s="9" t="s">
        <x:v>371</x:v>
      </x:c>
      <x:c r="O35" s="9" t="s">
        <x:v>52</x:v>
      </x:c>
      <x:c r="P35" s="9" t="s">
        <x:v>53</x:v>
      </x:c>
      <x:c r="Q35" s="9" t="s">
        <x:v>372</x:v>
      </x:c>
      <x:c r="R35" s="9" t="s">
        <x:v>1</x:v>
      </x:c>
      <x:c r="S35" s="9" t="s">
        <x:v>1</x:v>
      </x:c>
      <x:c r="T35" s="9" t="s">
        <x:v>1</x:v>
      </x:c>
      <x:c r="U35" s="9" t="s">
        <x:v>55</x:v>
      </x:c>
      <x:c r="V35" s="9" t="s">
        <x:v>55</x:v>
      </x:c>
      <x:c r="W35" s="9" t="s">
        <x:v>1</x:v>
      </x:c>
      <x:c r="X35" s="9" t="s">
        <x:v>1</x:v>
      </x:c>
      <x:c r="Y35" s="9" t="s">
        <x:v>55</x:v>
      </x:c>
    </x:row>
    <x:row r="36" ht="25" customHeight="1">
      <x:c r="A36" s="9" t="s">
        <x:v>373</x:v>
      </x:c>
      <x:c r="B36" s="9" t="s">
        <x:v>265</x:v>
      </x:c>
      <x:c r="C36" s="9" t="s">
        <x:v>363</x:v>
      </x:c>
      <x:c r="D36" s="9" t="s">
        <x:v>374</x:v>
      </x:c>
      <x:c r="E36" s="9" t="s">
        <x:v>375</x:v>
      </x:c>
      <x:c r="F36" s="9" t="s">
        <x:v>11</x:v>
      </x:c>
      <x:c r="G36" s="9" t="s">
        <x:v>376</x:v>
      </x:c>
      <x:c r="H36" s="9" t="s">
        <x:v>367</x:v>
      </x:c>
      <x:c r="I36" s="9" t="s">
        <x:v>47</x:v>
      </x:c>
      <x:c r="J36" s="9" t="s">
        <x:v>1</x:v>
      </x:c>
      <x:c r="K36" s="9" t="s">
        <x:v>377</x:v>
      </x:c>
      <x:c r="L36" s="9" t="s">
        <x:v>378</x:v>
      </x:c>
      <x:c r="M36" s="9" t="s">
        <x:v>379</x:v>
      </x:c>
      <x:c r="N36" s="9" t="s">
        <x:v>380</x:v>
      </x:c>
      <x:c r="O36" s="9" t="s">
        <x:v>52</x:v>
      </x:c>
      <x:c r="P36" s="9" t="s">
        <x:v>53</x:v>
      </x:c>
      <x:c r="Q36" s="9" t="s">
        <x:v>360</x:v>
      </x:c>
      <x:c r="R36" s="9" t="s">
        <x:v>1</x:v>
      </x:c>
      <x:c r="S36" s="9" t="s">
        <x:v>1</x:v>
      </x:c>
      <x:c r="T36" s="9" t="s">
        <x:v>1</x:v>
      </x:c>
      <x:c r="U36" s="9" t="s">
        <x:v>55</x:v>
      </x:c>
      <x:c r="V36" s="9" t="s">
        <x:v>55</x:v>
      </x:c>
      <x:c r="W36" s="9" t="s">
        <x:v>1</x:v>
      </x:c>
      <x:c r="X36" s="9" t="s">
        <x:v>1</x:v>
      </x:c>
      <x:c r="Y36" s="9" t="s">
        <x:v>55</x:v>
      </x:c>
    </x:row>
    <x:row r="37" ht="25" customHeight="1">
      <x:c r="A37" s="9" t="s">
        <x:v>381</x:v>
      </x:c>
      <x:c r="B37" s="9" t="s">
        <x:v>382</x:v>
      </x:c>
      <x:c r="C37" s="9" t="s">
        <x:v>363</x:v>
      </x:c>
      <x:c r="D37" s="9" t="s">
        <x:v>364</x:v>
      </x:c>
      <x:c r="E37" s="9" t="s">
        <x:v>383</x:v>
      </x:c>
      <x:c r="F37" s="9" t="s">
        <x:v>11</x:v>
      </x:c>
      <x:c r="G37" s="9" t="s">
        <x:v>384</x:v>
      </x:c>
      <x:c r="H37" s="9" t="s">
        <x:v>385</x:v>
      </x:c>
      <x:c r="I37" s="9" t="s">
        <x:v>47</x:v>
      </x:c>
      <x:c r="J37" s="9" t="s">
        <x:v>1</x:v>
      </x:c>
      <x:c r="K37" s="9" t="s">
        <x:v>386</x:v>
      </x:c>
      <x:c r="L37" s="9" t="s">
        <x:v>387</x:v>
      </x:c>
      <x:c r="M37" s="9" t="s">
        <x:v>388</x:v>
      </x:c>
      <x:c r="N37" s="9" t="s">
        <x:v>371</x:v>
      </x:c>
      <x:c r="O37" s="9" t="s">
        <x:v>52</x:v>
      </x:c>
      <x:c r="P37" s="9" t="s">
        <x:v>53</x:v>
      </x:c>
      <x:c r="Q37" s="9" t="s">
        <x:v>360</x:v>
      </x:c>
      <x:c r="R37" s="9" t="s">
        <x:v>1</x:v>
      </x:c>
      <x:c r="S37" s="9" t="s">
        <x:v>1</x:v>
      </x:c>
      <x:c r="T37" s="9" t="s">
        <x:v>1</x:v>
      </x:c>
      <x:c r="U37" s="9" t="s">
        <x:v>55</x:v>
      </x:c>
      <x:c r="V37" s="9" t="s">
        <x:v>55</x:v>
      </x:c>
      <x:c r="W37" s="9" t="s">
        <x:v>1</x:v>
      </x:c>
      <x:c r="X37" s="9" t="s">
        <x:v>1</x:v>
      </x:c>
      <x:c r="Y37" s="9" t="s">
        <x:v>55</x:v>
      </x:c>
    </x:row>
    <x:row r="38" ht="25" customHeight="1">
      <x:c r="A38" s="9" t="s">
        <x:v>389</x:v>
      </x:c>
      <x:c r="B38" s="9" t="s">
        <x:v>77</x:v>
      </x:c>
      <x:c r="C38" s="9" t="s">
        <x:v>363</x:v>
      </x:c>
      <x:c r="D38" s="9" t="s">
        <x:v>364</x:v>
      </x:c>
      <x:c r="E38" s="9" t="s">
        <x:v>390</x:v>
      </x:c>
      <x:c r="F38" s="9" t="s">
        <x:v>11</x:v>
      </x:c>
      <x:c r="G38" s="9" t="s">
        <x:v>391</x:v>
      </x:c>
      <x:c r="H38" s="9" t="s">
        <x:v>118</x:v>
      </x:c>
      <x:c r="I38" s="9" t="s">
        <x:v>47</x:v>
      </x:c>
      <x:c r="J38" s="9" t="s">
        <x:v>1</x:v>
      </x:c>
      <x:c r="K38" s="9" t="s">
        <x:v>392</x:v>
      </x:c>
      <x:c r="L38" s="9" t="s">
        <x:v>393</x:v>
      </x:c>
      <x:c r="M38" s="9" t="s">
        <x:v>394</x:v>
      </x:c>
      <x:c r="N38" s="9" t="s">
        <x:v>371</x:v>
      </x:c>
      <x:c r="O38" s="9" t="s">
        <x:v>52</x:v>
      </x:c>
      <x:c r="P38" s="9" t="s">
        <x:v>53</x:v>
      </x:c>
      <x:c r="Q38" s="9" t="s">
        <x:v>395</x:v>
      </x:c>
      <x:c r="R38" s="9" t="s">
        <x:v>1</x:v>
      </x:c>
      <x:c r="S38" s="9" t="s">
        <x:v>1</x:v>
      </x:c>
      <x:c r="T38" s="9" t="s">
        <x:v>1</x:v>
      </x:c>
      <x:c r="U38" s="9" t="s">
        <x:v>55</x:v>
      </x:c>
      <x:c r="V38" s="9" t="s">
        <x:v>55</x:v>
      </x:c>
      <x:c r="W38" s="9" t="s">
        <x:v>1</x:v>
      </x:c>
      <x:c r="X38" s="9" t="s">
        <x:v>1</x:v>
      </x:c>
      <x:c r="Y38" s="9" t="s">
        <x:v>55</x:v>
      </x:c>
    </x:row>
    <x:row r="39" ht="25" customHeight="1">
      <x:c r="A39" s="9" t="s">
        <x:v>396</x:v>
      </x:c>
      <x:c r="B39" s="9" t="s">
        <x:v>397</x:v>
      </x:c>
      <x:c r="C39" s="9" t="s">
        <x:v>353</x:v>
      </x:c>
      <x:c r="D39" s="9" t="s">
        <x:v>398</x:v>
      </x:c>
      <x:c r="E39" s="9" t="s">
        <x:v>399</x:v>
      </x:c>
      <x:c r="F39" s="9" t="s">
        <x:v>61</x:v>
      </x:c>
      <x:c r="G39" s="9" t="s">
        <x:v>400</x:v>
      </x:c>
      <x:c r="H39" s="9" t="s">
        <x:v>401</x:v>
      </x:c>
      <x:c r="I39" s="9" t="s">
        <x:v>47</x:v>
      </x:c>
      <x:c r="J39" s="9" t="s">
        <x:v>1</x:v>
      </x:c>
      <x:c r="K39" s="9" t="s">
        <x:v>402</x:v>
      </x:c>
      <x:c r="L39" s="9" t="s">
        <x:v>403</x:v>
      </x:c>
      <x:c r="M39" s="9" t="s">
        <x:v>404</x:v>
      </x:c>
      <x:c r="N39" s="9" t="s">
        <x:v>405</x:v>
      </x:c>
      <x:c r="O39" s="9" t="s">
        <x:v>52</x:v>
      </x:c>
      <x:c r="P39" s="9" t="s">
        <x:v>66</x:v>
      </x:c>
      <x:c r="Q39" s="9" t="s">
        <x:v>406</x:v>
      </x:c>
      <x:c r="R39" s="9" t="s">
        <x:v>1</x:v>
      </x:c>
      <x:c r="S39" s="9" t="s">
        <x:v>1</x:v>
      </x:c>
      <x:c r="T39" s="9" t="s">
        <x:v>1</x:v>
      </x:c>
      <x:c r="U39" s="9" t="s">
        <x:v>55</x:v>
      </x:c>
      <x:c r="V39" s="9" t="s">
        <x:v>156</x:v>
      </x:c>
      <x:c r="W39" s="9" t="s">
        <x:v>407</x:v>
      </x:c>
      <x:c r="X39" s="9" t="s">
        <x:v>1</x:v>
      </x:c>
      <x:c r="Y39" s="9" t="s">
        <x:v>55</x:v>
      </x:c>
    </x:row>
    <x:row r="40" ht="25" customHeight="1">
      <x:c r="A40" s="9" t="s">
        <x:v>408</x:v>
      </x:c>
      <x:c r="B40" s="9" t="s">
        <x:v>97</x:v>
      </x:c>
      <x:c r="C40" s="9" t="s">
        <x:v>353</x:v>
      </x:c>
      <x:c r="D40" s="9" t="s">
        <x:v>409</x:v>
      </x:c>
      <x:c r="E40" s="9" t="s">
        <x:v>410</x:v>
      </x:c>
      <x:c r="F40" s="9" t="s">
        <x:v>11</x:v>
      </x:c>
      <x:c r="G40" s="9" t="s">
        <x:v>356</x:v>
      </x:c>
      <x:c r="H40" s="9" t="s">
        <x:v>46</x:v>
      </x:c>
      <x:c r="I40" s="9" t="s">
        <x:v>47</x:v>
      </x:c>
      <x:c r="J40" s="9" t="s">
        <x:v>1</x:v>
      </x:c>
      <x:c r="K40" s="9" t="s">
        <x:v>411</x:v>
      </x:c>
      <x:c r="L40" s="9" t="s">
        <x:v>412</x:v>
      </x:c>
      <x:c r="M40" s="9" t="s">
        <x:v>413</x:v>
      </x:c>
      <x:c r="N40" s="9" t="s">
        <x:v>414</x:v>
      </x:c>
      <x:c r="O40" s="9" t="s">
        <x:v>52</x:v>
      </x:c>
      <x:c r="P40" s="9" t="s">
        <x:v>53</x:v>
      </x:c>
      <x:c r="Q40" s="9" t="s">
        <x:v>415</x:v>
      </x:c>
      <x:c r="R40" s="9" t="s">
        <x:v>1</x:v>
      </x:c>
      <x:c r="S40" s="9" t="s">
        <x:v>1</x:v>
      </x:c>
      <x:c r="T40" s="9" t="s">
        <x:v>1</x:v>
      </x:c>
      <x:c r="U40" s="9" t="s">
        <x:v>55</x:v>
      </x:c>
      <x:c r="V40" s="9" t="s">
        <x:v>55</x:v>
      </x:c>
      <x:c r="W40" s="9" t="s">
        <x:v>1</x:v>
      </x:c>
      <x:c r="X40" s="9" t="s">
        <x:v>1</x:v>
      </x:c>
      <x:c r="Y40" s="9" t="s">
        <x:v>55</x:v>
      </x:c>
    </x:row>
    <x:row r="41" ht="25" customHeight="1">
      <x:c r="A41" s="9" t="s">
        <x:v>416</x:v>
      </x:c>
      <x:c r="B41" s="9" t="s">
        <x:v>352</x:v>
      </x:c>
      <x:c r="C41" s="9" t="s">
        <x:v>353</x:v>
      </x:c>
      <x:c r="D41" s="9" t="s">
        <x:v>417</x:v>
      </x:c>
      <x:c r="E41" s="9" t="s">
        <x:v>418</x:v>
      </x:c>
      <x:c r="F41" s="9" t="s">
        <x:v>419</x:v>
      </x:c>
      <x:c r="G41" s="9" t="s">
        <x:v>420</x:v>
      </x:c>
      <x:c r="H41" s="9" t="s">
        <x:v>385</x:v>
      </x:c>
      <x:c r="I41" s="9" t="s">
        <x:v>47</x:v>
      </x:c>
      <x:c r="J41" s="9" t="s">
        <x:v>1</x:v>
      </x:c>
      <x:c r="K41" s="9" t="s">
        <x:v>421</x:v>
      </x:c>
      <x:c r="L41" s="9" t="s">
        <x:v>422</x:v>
      </x:c>
      <x:c r="M41" s="9" t="s">
        <x:v>423</x:v>
      </x:c>
      <x:c r="N41" s="9" t="s">
        <x:v>359</x:v>
      </x:c>
      <x:c r="O41" s="9" t="s">
        <x:v>52</x:v>
      </x:c>
      <x:c r="P41" s="9" t="s">
        <x:v>153</x:v>
      </x:c>
      <x:c r="Q41" s="9" t="s">
        <x:v>360</x:v>
      </x:c>
      <x:c r="R41" s="9" t="s">
        <x:v>1</x:v>
      </x:c>
      <x:c r="S41" s="9" t="s">
        <x:v>1</x:v>
      </x:c>
      <x:c r="T41" s="9" t="s">
        <x:v>1</x:v>
      </x:c>
      <x:c r="U41" s="9" t="s">
        <x:v>55</x:v>
      </x:c>
      <x:c r="V41" s="9" t="s">
        <x:v>55</x:v>
      </x:c>
      <x:c r="W41" s="9" t="s">
        <x:v>424</x:v>
      </x:c>
      <x:c r="X41" s="9" t="s">
        <x:v>1</x:v>
      </x:c>
      <x:c r="Y41" s="9" t="s">
        <x:v>156</x:v>
      </x:c>
    </x:row>
    <x:row r="42" ht="25" customHeight="1">
      <x:c r="A42" s="9" t="s">
        <x:v>425</x:v>
      </x:c>
      <x:c r="B42" s="9" t="s">
        <x:v>397</x:v>
      </x:c>
      <x:c r="C42" s="9" t="s">
        <x:v>363</x:v>
      </x:c>
      <x:c r="D42" s="9" t="s">
        <x:v>374</x:v>
      </x:c>
      <x:c r="E42" s="9" t="s">
        <x:v>426</x:v>
      </x:c>
      <x:c r="F42" s="9" t="s">
        <x:v>419</x:v>
      </x:c>
      <x:c r="G42" s="9" t="s">
        <x:v>376</x:v>
      </x:c>
      <x:c r="H42" s="9" t="s">
        <x:v>367</x:v>
      </x:c>
      <x:c r="I42" s="9" t="s">
        <x:v>47</x:v>
      </x:c>
      <x:c r="J42" s="9" t="s">
        <x:v>1</x:v>
      </x:c>
      <x:c r="K42" s="9" t="s">
        <x:v>427</x:v>
      </x:c>
      <x:c r="L42" s="9" t="s">
        <x:v>428</x:v>
      </x:c>
      <x:c r="M42" s="9" t="s">
        <x:v>423</x:v>
      </x:c>
      <x:c r="N42" s="9" t="s">
        <x:v>380</x:v>
      </x:c>
      <x:c r="O42" s="9" t="s">
        <x:v>52</x:v>
      </x:c>
      <x:c r="P42" s="9" t="s">
        <x:v>153</x:v>
      </x:c>
      <x:c r="Q42" s="9" t="s">
        <x:v>360</x:v>
      </x:c>
      <x:c r="R42" s="9" t="s">
        <x:v>1</x:v>
      </x:c>
      <x:c r="S42" s="9" t="s">
        <x:v>1</x:v>
      </x:c>
      <x:c r="T42" s="9" t="s">
        <x:v>1</x:v>
      </x:c>
      <x:c r="U42" s="9" t="s">
        <x:v>55</x:v>
      </x:c>
      <x:c r="V42" s="9" t="s">
        <x:v>55</x:v>
      </x:c>
      <x:c r="W42" s="9" t="s">
        <x:v>424</x:v>
      </x:c>
      <x:c r="X42" s="9" t="s">
        <x:v>1</x:v>
      </x:c>
      <x:c r="Y42" s="9" t="s">
        <x:v>156</x:v>
      </x:c>
    </x:row>
    <x:row r="43" ht="25" customHeight="1">
      <x:c r="A43" s="9" t="s">
        <x:v>429</x:v>
      </x:c>
      <x:c r="B43" s="9" t="s">
        <x:v>430</x:v>
      </x:c>
      <x:c r="C43" s="9" t="s">
        <x:v>283</x:v>
      </x:c>
      <x:c r="D43" s="9" t="s">
        <x:v>431</x:v>
      </x:c>
      <x:c r="E43" s="9" t="s">
        <x:v>432</x:v>
      </x:c>
      <x:c r="F43" s="9" t="s">
        <x:v>11</x:v>
      </x:c>
      <x:c r="G43" s="9" t="s">
        <x:v>433</x:v>
      </x:c>
      <x:c r="H43" s="9" t="s">
        <x:v>385</x:v>
      </x:c>
      <x:c r="I43" s="9" t="s">
        <x:v>47</x:v>
      </x:c>
      <x:c r="J43" s="9" t="s">
        <x:v>1</x:v>
      </x:c>
      <x:c r="K43" s="9" t="s">
        <x:v>434</x:v>
      </x:c>
      <x:c r="L43" s="9" t="s">
        <x:v>435</x:v>
      </x:c>
      <x:c r="M43" s="9" t="s">
        <x:v>436</x:v>
      </x:c>
      <x:c r="N43" s="9" t="s">
        <x:v>437</x:v>
      </x:c>
      <x:c r="O43" s="9" t="s">
        <x:v>52</x:v>
      </x:c>
      <x:c r="P43" s="9" t="s">
        <x:v>53</x:v>
      </x:c>
      <x:c r="Q43" s="9" t="s">
        <x:v>360</x:v>
      </x:c>
      <x:c r="R43" s="9" t="s">
        <x:v>1</x:v>
      </x:c>
      <x:c r="S43" s="9" t="s">
        <x:v>1</x:v>
      </x:c>
      <x:c r="T43" s="9" t="s">
        <x:v>1</x:v>
      </x:c>
      <x:c r="U43" s="9" t="s">
        <x:v>55</x:v>
      </x:c>
      <x:c r="V43" s="9" t="s">
        <x:v>55</x:v>
      </x:c>
      <x:c r="W43" s="9" t="s">
        <x:v>1</x:v>
      </x:c>
      <x:c r="X43" s="9" t="s">
        <x:v>1</x:v>
      </x:c>
      <x:c r="Y43" s="9" t="s">
        <x:v>55</x:v>
      </x:c>
    </x:row>
    <x:row r="44" ht="25" customHeight="1">
      <x:c r="A44" s="9" t="s">
        <x:v>438</x:v>
      </x:c>
      <x:c r="B44" s="9" t="s">
        <x:v>114</x:v>
      </x:c>
      <x:c r="C44" s="9" t="s">
        <x:v>283</x:v>
      </x:c>
      <x:c r="D44" s="9" t="s">
        <x:v>431</x:v>
      </x:c>
      <x:c r="E44" s="9" t="s">
        <x:v>439</x:v>
      </x:c>
      <x:c r="F44" s="9" t="s">
        <x:v>61</x:v>
      </x:c>
      <x:c r="G44" s="9" t="s">
        <x:v>440</x:v>
      </x:c>
      <x:c r="H44" s="9" t="s">
        <x:v>441</x:v>
      </x:c>
      <x:c r="I44" s="9" t="s">
        <x:v>47</x:v>
      </x:c>
      <x:c r="J44" s="9" t="s">
        <x:v>1</x:v>
      </x:c>
      <x:c r="K44" s="9" t="s">
        <x:v>178</x:v>
      </x:c>
      <x:c r="L44" s="9" t="s">
        <x:v>442</x:v>
      </x:c>
      <x:c r="M44" s="9" t="s">
        <x:v>443</x:v>
      </x:c>
      <x:c r="N44" s="9" t="s">
        <x:v>444</x:v>
      </x:c>
      <x:c r="O44" s="9" t="s">
        <x:v>52</x:v>
      </x:c>
      <x:c r="P44" s="9" t="s">
        <x:v>61</x:v>
      </x:c>
      <x:c r="Q44" s="9" t="s">
        <x:v>445</x:v>
      </x:c>
      <x:c r="R44" s="9" t="s">
        <x:v>1</x:v>
      </x:c>
      <x:c r="S44" s="9" t="s">
        <x:v>1</x:v>
      </x:c>
      <x:c r="T44" s="9" t="s">
        <x:v>1</x:v>
      </x:c>
      <x:c r="U44" s="9" t="s">
        <x:v>55</x:v>
      </x:c>
      <x:c r="V44" s="9" t="s">
        <x:v>55</x:v>
      </x:c>
      <x:c r="W44" s="9" t="s">
        <x:v>1</x:v>
      </x:c>
      <x:c r="X44" s="9" t="s">
        <x:v>1</x:v>
      </x:c>
      <x:c r="Y44" s="9" t="s">
        <x:v>55</x:v>
      </x:c>
    </x:row>
    <x:row r="45" ht="25" customHeight="1">
      <x:c r="A45" s="9" t="s">
        <x:v>446</x:v>
      </x:c>
      <x:c r="B45" s="9" t="s">
        <x:v>77</x:v>
      </x:c>
      <x:c r="C45" s="9" t="s">
        <x:v>283</x:v>
      </x:c>
      <x:c r="D45" s="9" t="s">
        <x:v>431</x:v>
      </x:c>
      <x:c r="E45" s="9" t="s">
        <x:v>447</x:v>
      </x:c>
      <x:c r="F45" s="9" t="s">
        <x:v>11</x:v>
      </x:c>
      <x:c r="G45" s="9" t="s">
        <x:v>356</x:v>
      </x:c>
      <x:c r="H45" s="9" t="s">
        <x:v>46</x:v>
      </x:c>
      <x:c r="I45" s="9" t="s">
        <x:v>47</x:v>
      </x:c>
      <x:c r="J45" s="9" t="s">
        <x:v>1</x:v>
      </x:c>
      <x:c r="K45" s="9" t="s">
        <x:v>448</x:v>
      </x:c>
      <x:c r="L45" s="9" t="s">
        <x:v>449</x:v>
      </x:c>
      <x:c r="M45" s="9" t="s">
        <x:v>450</x:v>
      </x:c>
      <x:c r="N45" s="9" t="s">
        <x:v>451</x:v>
      </x:c>
      <x:c r="O45" s="9" t="s">
        <x:v>52</x:v>
      </x:c>
      <x:c r="P45" s="9" t="s">
        <x:v>53</x:v>
      </x:c>
      <x:c r="Q45" s="9" t="s">
        <x:v>415</x:v>
      </x:c>
      <x:c r="R45" s="9" t="s">
        <x:v>1</x:v>
      </x:c>
      <x:c r="S45" s="9" t="s">
        <x:v>1</x:v>
      </x:c>
      <x:c r="T45" s="9" t="s">
        <x:v>1</x:v>
      </x:c>
      <x:c r="U45" s="9" t="s">
        <x:v>55</x:v>
      </x:c>
      <x:c r="V45" s="9" t="s">
        <x:v>55</x:v>
      </x:c>
      <x:c r="W45" s="9" t="s">
        <x:v>1</x:v>
      </x:c>
      <x:c r="X45" s="9" t="s">
        <x:v>1</x:v>
      </x:c>
      <x:c r="Y45" s="9" t="s">
        <x:v>55</x:v>
      </x:c>
    </x:row>
    <x:row r="46" ht="25" customHeight="1">
      <x:c r="A46" s="9" t="s">
        <x:v>452</x:v>
      </x:c>
      <x:c r="B46" s="9" t="s">
        <x:v>352</x:v>
      </x:c>
      <x:c r="C46" s="9" t="s">
        <x:v>283</x:v>
      </x:c>
      <x:c r="D46" s="9" t="s">
        <x:v>453</x:v>
      </x:c>
      <x:c r="E46" s="9" t="s">
        <x:v>454</x:v>
      </x:c>
      <x:c r="F46" s="9" t="s">
        <x:v>11</x:v>
      </x:c>
      <x:c r="G46" s="9" t="s">
        <x:v>455</x:v>
      </x:c>
      <x:c r="H46" s="9" t="s">
        <x:v>385</x:v>
      </x:c>
      <x:c r="I46" s="9" t="s">
        <x:v>47</x:v>
      </x:c>
      <x:c r="J46" s="9" t="s">
        <x:v>1</x:v>
      </x:c>
      <x:c r="K46" s="9" t="s">
        <x:v>456</x:v>
      </x:c>
      <x:c r="L46" s="9" t="s">
        <x:v>457</x:v>
      </x:c>
      <x:c r="M46" s="9" t="s">
        <x:v>458</x:v>
      </x:c>
      <x:c r="N46" s="9" t="s">
        <x:v>459</x:v>
      </x:c>
      <x:c r="O46" s="9" t="s">
        <x:v>52</x:v>
      </x:c>
      <x:c r="P46" s="9" t="s">
        <x:v>53</x:v>
      </x:c>
      <x:c r="Q46" s="9" t="s">
        <x:v>445</x:v>
      </x:c>
      <x:c r="R46" s="9" t="s">
        <x:v>1</x:v>
      </x:c>
      <x:c r="S46" s="9" t="s">
        <x:v>1</x:v>
      </x:c>
      <x:c r="T46" s="9" t="s">
        <x:v>1</x:v>
      </x:c>
      <x:c r="U46" s="9" t="s">
        <x:v>55</x:v>
      </x:c>
      <x:c r="V46" s="9" t="s">
        <x:v>55</x:v>
      </x:c>
      <x:c r="W46" s="9" t="s">
        <x:v>1</x:v>
      </x:c>
      <x:c r="X46" s="9" t="s">
        <x:v>1</x:v>
      </x:c>
      <x:c r="Y46" s="9" t="s">
        <x:v>55</x:v>
      </x:c>
    </x:row>
    <x:row r="47" ht="25" customHeight="1">
      <x:c r="A47" s="9" t="s">
        <x:v>460</x:v>
      </x:c>
      <x:c r="B47" s="9" t="s">
        <x:v>430</x:v>
      </x:c>
      <x:c r="C47" s="9" t="s">
        <x:v>283</x:v>
      </x:c>
      <x:c r="D47" s="9" t="s">
        <x:v>453</x:v>
      </x:c>
      <x:c r="E47" s="9" t="s">
        <x:v>454</x:v>
      </x:c>
      <x:c r="F47" s="9" t="s">
        <x:v>11</x:v>
      </x:c>
      <x:c r="G47" s="9" t="s">
        <x:v>455</x:v>
      </x:c>
      <x:c r="H47" s="9" t="s">
        <x:v>385</x:v>
      </x:c>
      <x:c r="I47" s="9" t="s">
        <x:v>47</x:v>
      </x:c>
      <x:c r="J47" s="9" t="s">
        <x:v>1</x:v>
      </x:c>
      <x:c r="K47" s="9" t="s">
        <x:v>461</x:v>
      </x:c>
      <x:c r="L47" s="9" t="s">
        <x:v>462</x:v>
      </x:c>
      <x:c r="M47" s="9" t="s">
        <x:v>463</x:v>
      </x:c>
      <x:c r="N47" s="9" t="s">
        <x:v>464</x:v>
      </x:c>
      <x:c r="O47" s="9" t="s">
        <x:v>52</x:v>
      </x:c>
      <x:c r="P47" s="9" t="s">
        <x:v>53</x:v>
      </x:c>
      <x:c r="Q47" s="9" t="s">
        <x:v>445</x:v>
      </x:c>
      <x:c r="R47" s="9" t="s">
        <x:v>1</x:v>
      </x:c>
      <x:c r="S47" s="9" t="s">
        <x:v>1</x:v>
      </x:c>
      <x:c r="T47" s="9" t="s">
        <x:v>1</x:v>
      </x:c>
      <x:c r="U47" s="9" t="s">
        <x:v>55</x:v>
      </x:c>
      <x:c r="V47" s="9" t="s">
        <x:v>55</x:v>
      </x:c>
      <x:c r="W47" s="9" t="s">
        <x:v>1</x:v>
      </x:c>
      <x:c r="X47" s="9" t="s">
        <x:v>1</x:v>
      </x:c>
      <x:c r="Y47" s="9" t="s">
        <x:v>55</x:v>
      </x:c>
    </x:row>
    <x:row r="48" ht="25" customHeight="1">
      <x:c r="A48" s="9" t="s">
        <x:v>465</x:v>
      </x:c>
      <x:c r="B48" s="9" t="s">
        <x:v>466</x:v>
      </x:c>
      <x:c r="C48" s="9" t="s">
        <x:v>283</x:v>
      </x:c>
      <x:c r="D48" s="9" t="s">
        <x:v>467</x:v>
      </x:c>
      <x:c r="E48" s="9" t="s">
        <x:v>468</x:v>
      </x:c>
      <x:c r="F48" s="9" t="s">
        <x:v>11</x:v>
      </x:c>
      <x:c r="G48" s="9" t="s">
        <x:v>469</x:v>
      </x:c>
      <x:c r="H48" s="9" t="s">
        <x:v>385</x:v>
      </x:c>
      <x:c r="I48" s="9" t="s">
        <x:v>47</x:v>
      </x:c>
      <x:c r="J48" s="9" t="s">
        <x:v>1</x:v>
      </x:c>
      <x:c r="K48" s="9" t="s">
        <x:v>470</x:v>
      </x:c>
      <x:c r="L48" s="9" t="s">
        <x:v>471</x:v>
      </x:c>
      <x:c r="M48" s="9" t="s">
        <x:v>472</x:v>
      </x:c>
      <x:c r="N48" s="9" t="s">
        <x:v>473</x:v>
      </x:c>
      <x:c r="O48" s="9" t="s">
        <x:v>52</x:v>
      </x:c>
      <x:c r="P48" s="9" t="s">
        <x:v>53</x:v>
      </x:c>
      <x:c r="Q48" s="9" t="s">
        <x:v>360</x:v>
      </x:c>
      <x:c r="R48" s="9" t="s">
        <x:v>1</x:v>
      </x:c>
      <x:c r="S48" s="9" t="s">
        <x:v>1</x:v>
      </x:c>
      <x:c r="T48" s="9" t="s">
        <x:v>1</x:v>
      </x:c>
      <x:c r="U48" s="9" t="s">
        <x:v>55</x:v>
      </x:c>
      <x:c r="V48" s="9" t="s">
        <x:v>55</x:v>
      </x:c>
      <x:c r="W48" s="9" t="s">
        <x:v>1</x:v>
      </x:c>
      <x:c r="X48" s="9" t="s">
        <x:v>1</x:v>
      </x:c>
      <x:c r="Y48" s="9" t="s">
        <x:v>55</x:v>
      </x:c>
    </x:row>
    <x:row r="49" ht="25" customHeight="1">
      <x:c r="A49" s="9" t="s">
        <x:v>474</x:v>
      </x:c>
      <x:c r="B49" s="9" t="s">
        <x:v>164</x:v>
      </x:c>
      <x:c r="C49" s="9" t="s">
        <x:v>283</x:v>
      </x:c>
      <x:c r="D49" s="9" t="s">
        <x:v>475</x:v>
      </x:c>
      <x:c r="E49" s="9" t="s">
        <x:v>439</x:v>
      </x:c>
      <x:c r="F49" s="9" t="s">
        <x:v>61</x:v>
      </x:c>
      <x:c r="G49" s="9" t="s">
        <x:v>476</x:v>
      </x:c>
      <x:c r="H49" s="9" t="s">
        <x:v>118</x:v>
      </x:c>
      <x:c r="I49" s="9" t="s">
        <x:v>47</x:v>
      </x:c>
      <x:c r="J49" s="9" t="s">
        <x:v>1</x:v>
      </x:c>
      <x:c r="K49" s="9" t="s">
        <x:v>477</x:v>
      </x:c>
      <x:c r="L49" s="9" t="s">
        <x:v>478</x:v>
      </x:c>
      <x:c r="M49" s="9" t="s">
        <x:v>479</x:v>
      </x:c>
      <x:c r="N49" s="9" t="s">
        <x:v>480</x:v>
      </x:c>
      <x:c r="O49" s="9" t="s">
        <x:v>52</x:v>
      </x:c>
      <x:c r="P49" s="9" t="s">
        <x:v>61</x:v>
      </x:c>
      <x:c r="Q49" s="9" t="s">
        <x:v>481</x:v>
      </x:c>
      <x:c r="R49" s="9" t="s">
        <x:v>1</x:v>
      </x:c>
      <x:c r="S49" s="9" t="s">
        <x:v>1</x:v>
      </x:c>
      <x:c r="T49" s="9" t="s">
        <x:v>1</x:v>
      </x:c>
      <x:c r="U49" s="9" t="s">
        <x:v>55</x:v>
      </x:c>
      <x:c r="V49" s="9" t="s">
        <x:v>55</x:v>
      </x:c>
      <x:c r="W49" s="9" t="s">
        <x:v>1</x:v>
      </x:c>
      <x:c r="X49" s="9" t="s">
        <x:v>1</x:v>
      </x:c>
      <x:c r="Y49" s="9" t="s">
        <x:v>55</x:v>
      </x:c>
    </x:row>
    <x:row r="50" ht="25" customHeight="1">
      <x:c r="A50" s="9" t="s">
        <x:v>482</x:v>
      </x:c>
      <x:c r="B50" s="9" t="s">
        <x:v>265</x:v>
      </x:c>
      <x:c r="C50" s="9" t="s">
        <x:v>283</x:v>
      </x:c>
      <x:c r="D50" s="9" t="s">
        <x:v>475</x:v>
      </x:c>
      <x:c r="E50" s="9" t="s">
        <x:v>483</x:v>
      </x:c>
      <x:c r="F50" s="9" t="s">
        <x:v>61</x:v>
      </x:c>
      <x:c r="G50" s="9" t="s">
        <x:v>484</x:v>
      </x:c>
      <x:c r="H50" s="9" t="s">
        <x:v>385</x:v>
      </x:c>
      <x:c r="I50" s="9" t="s">
        <x:v>47</x:v>
      </x:c>
      <x:c r="J50" s="9" t="s">
        <x:v>1</x:v>
      </x:c>
      <x:c r="K50" s="9" t="s">
        <x:v>485</x:v>
      </x:c>
      <x:c r="L50" s="9" t="s">
        <x:v>486</x:v>
      </x:c>
      <x:c r="M50" s="9" t="s">
        <x:v>487</x:v>
      </x:c>
      <x:c r="N50" s="9" t="s">
        <x:v>488</x:v>
      </x:c>
      <x:c r="O50" s="9" t="s">
        <x:v>337</x:v>
      </x:c>
      <x:c r="P50" s="9" t="s">
        <x:v>66</x:v>
      </x:c>
      <x:c r="Q50" s="9" t="s">
        <x:v>489</x:v>
      </x:c>
      <x:c r="R50" s="9" t="s">
        <x:v>1</x:v>
      </x:c>
      <x:c r="S50" s="9" t="s">
        <x:v>1</x:v>
      </x:c>
      <x:c r="T50" s="9" t="s">
        <x:v>1</x:v>
      </x:c>
      <x:c r="U50" s="9" t="s">
        <x:v>55</x:v>
      </x:c>
      <x:c r="V50" s="9" t="s">
        <x:v>55</x:v>
      </x:c>
      <x:c r="W50" s="9" t="s">
        <x:v>490</x:v>
      </x:c>
      <x:c r="X50" s="9" t="s">
        <x:v>1</x:v>
      </x:c>
      <x:c r="Y50" s="9" t="s">
        <x:v>55</x:v>
      </x:c>
    </x:row>
    <x:row r="51" ht="25" customHeight="1">
      <x:c r="A51" s="9" t="s">
        <x:v>491</x:v>
      </x:c>
      <x:c r="B51" s="9" t="s">
        <x:v>397</x:v>
      </x:c>
      <x:c r="C51" s="9" t="s">
        <x:v>283</x:v>
      </x:c>
      <x:c r="D51" s="9" t="s">
        <x:v>492</x:v>
      </x:c>
      <x:c r="E51" s="9" t="s">
        <x:v>493</x:v>
      </x:c>
      <x:c r="F51" s="9" t="s">
        <x:v>11</x:v>
      </x:c>
      <x:c r="G51" s="9" t="s">
        <x:v>494</x:v>
      </x:c>
      <x:c r="H51" s="9" t="s">
        <x:v>385</x:v>
      </x:c>
      <x:c r="I51" s="9" t="s">
        <x:v>47</x:v>
      </x:c>
      <x:c r="J51" s="9" t="s">
        <x:v>1</x:v>
      </x:c>
      <x:c r="K51" s="9" t="s">
        <x:v>495</x:v>
      </x:c>
      <x:c r="L51" s="9" t="s">
        <x:v>496</x:v>
      </x:c>
      <x:c r="M51" s="9" t="s">
        <x:v>497</x:v>
      </x:c>
      <x:c r="N51" s="9" t="s">
        <x:v>498</x:v>
      </x:c>
      <x:c r="O51" s="9" t="s">
        <x:v>52</x:v>
      </x:c>
      <x:c r="P51" s="9" t="s">
        <x:v>53</x:v>
      </x:c>
      <x:c r="Q51" s="9" t="s">
        <x:v>445</x:v>
      </x:c>
      <x:c r="R51" s="9" t="s">
        <x:v>1</x:v>
      </x:c>
      <x:c r="S51" s="9" t="s">
        <x:v>1</x:v>
      </x:c>
      <x:c r="T51" s="9" t="s">
        <x:v>1</x:v>
      </x:c>
      <x:c r="U51" s="9" t="s">
        <x:v>55</x:v>
      </x:c>
      <x:c r="V51" s="9" t="s">
        <x:v>55</x:v>
      </x:c>
      <x:c r="W51" s="9" t="s">
        <x:v>1</x:v>
      </x:c>
      <x:c r="X51" s="9" t="s">
        <x:v>1</x:v>
      </x:c>
      <x:c r="Y51" s="9" t="s">
        <x:v>55</x:v>
      </x:c>
    </x:row>
    <x:row r="52" ht="25" customHeight="1">
      <x:c r="A52" s="9" t="s">
        <x:v>499</x:v>
      </x:c>
      <x:c r="B52" s="9" t="s">
        <x:v>97</x:v>
      </x:c>
      <x:c r="C52" s="9" t="s">
        <x:v>283</x:v>
      </x:c>
      <x:c r="D52" s="9" t="s">
        <x:v>500</x:v>
      </x:c>
      <x:c r="E52" s="9" t="s">
        <x:v>501</x:v>
      </x:c>
      <x:c r="F52" s="9" t="s">
        <x:v>11</x:v>
      </x:c>
      <x:c r="G52" s="9" t="s">
        <x:v>502</x:v>
      </x:c>
      <x:c r="H52" s="9" t="s">
        <x:v>385</x:v>
      </x:c>
      <x:c r="I52" s="9" t="s">
        <x:v>47</x:v>
      </x:c>
      <x:c r="J52" s="9" t="s">
        <x:v>1</x:v>
      </x:c>
      <x:c r="K52" s="9" t="s">
        <x:v>503</x:v>
      </x:c>
      <x:c r="L52" s="9" t="s">
        <x:v>504</x:v>
      </x:c>
      <x:c r="M52" s="9" t="s">
        <x:v>505</x:v>
      </x:c>
      <x:c r="N52" s="9" t="s">
        <x:v>506</x:v>
      </x:c>
      <x:c r="O52" s="9" t="s">
        <x:v>52</x:v>
      </x:c>
      <x:c r="P52" s="9" t="s">
        <x:v>53</x:v>
      </x:c>
      <x:c r="Q52" s="9" t="s">
        <x:v>445</x:v>
      </x:c>
      <x:c r="R52" s="9" t="s">
        <x:v>1</x:v>
      </x:c>
      <x:c r="S52" s="9" t="s">
        <x:v>1</x:v>
      </x:c>
      <x:c r="T52" s="9" t="s">
        <x:v>1</x:v>
      </x:c>
      <x:c r="U52" s="9" t="s">
        <x:v>55</x:v>
      </x:c>
      <x:c r="V52" s="9" t="s">
        <x:v>55</x:v>
      </x:c>
      <x:c r="W52" s="9" t="s">
        <x:v>1</x:v>
      </x:c>
      <x:c r="X52" s="9" t="s">
        <x:v>1</x:v>
      </x:c>
      <x:c r="Y52" s="9" t="s">
        <x:v>55</x:v>
      </x:c>
    </x:row>
    <x:row r="53" ht="25" customHeight="1">
      <x:c r="A53" s="9" t="s">
        <x:v>507</x:v>
      </x:c>
      <x:c r="B53" s="9" t="s">
        <x:v>237</x:v>
      </x:c>
      <x:c r="C53" s="9" t="s">
        <x:v>283</x:v>
      </x:c>
      <x:c r="D53" s="9" t="s">
        <x:v>500</x:v>
      </x:c>
      <x:c r="E53" s="9" t="s">
        <x:v>508</x:v>
      </x:c>
      <x:c r="F53" s="9" t="s">
        <x:v>11</x:v>
      </x:c>
      <x:c r="G53" s="9" t="s">
        <x:v>502</x:v>
      </x:c>
      <x:c r="H53" s="9" t="s">
        <x:v>385</x:v>
      </x:c>
      <x:c r="I53" s="9" t="s">
        <x:v>47</x:v>
      </x:c>
      <x:c r="J53" s="9" t="s">
        <x:v>1</x:v>
      </x:c>
      <x:c r="K53" s="9" t="s">
        <x:v>509</x:v>
      </x:c>
      <x:c r="L53" s="9" t="s">
        <x:v>510</x:v>
      </x:c>
      <x:c r="M53" s="9" t="s">
        <x:v>511</x:v>
      </x:c>
      <x:c r="N53" s="9" t="s">
        <x:v>512</x:v>
      </x:c>
      <x:c r="O53" s="9" t="s">
        <x:v>52</x:v>
      </x:c>
      <x:c r="P53" s="9" t="s">
        <x:v>53</x:v>
      </x:c>
      <x:c r="Q53" s="9" t="s">
        <x:v>445</x:v>
      </x:c>
      <x:c r="R53" s="9" t="s">
        <x:v>1</x:v>
      </x:c>
      <x:c r="S53" s="9" t="s">
        <x:v>1</x:v>
      </x:c>
      <x:c r="T53" s="9" t="s">
        <x:v>1</x:v>
      </x:c>
      <x:c r="U53" s="9" t="s">
        <x:v>55</x:v>
      </x:c>
      <x:c r="V53" s="9" t="s">
        <x:v>55</x:v>
      </x:c>
      <x:c r="W53" s="9" t="s">
        <x:v>1</x:v>
      </x:c>
      <x:c r="X53" s="9" t="s">
        <x:v>1</x:v>
      </x:c>
      <x:c r="Y53" s="9" t="s">
        <x:v>55</x:v>
      </x:c>
    </x:row>
    <x:row r="54" ht="25" customHeight="1">
      <x:c r="A54" s="9" t="s">
        <x:v>513</x:v>
      </x:c>
      <x:c r="B54" s="9" t="s">
        <x:v>397</x:v>
      </x:c>
      <x:c r="C54" s="9" t="s">
        <x:v>363</x:v>
      </x:c>
      <x:c r="D54" s="9" t="s">
        <x:v>514</x:v>
      </x:c>
      <x:c r="E54" s="9" t="s">
        <x:v>515</x:v>
      </x:c>
      <x:c r="F54" s="9" t="s">
        <x:v>516</x:v>
      </x:c>
      <x:c r="G54" s="9" t="s">
        <x:v>229</x:v>
      </x:c>
      <x:c r="H54" s="9" t="s">
        <x:v>517</x:v>
      </x:c>
      <x:c r="I54" s="9" t="s">
        <x:v>47</x:v>
      </x:c>
      <x:c r="J54" s="9" t="s">
        <x:v>1</x:v>
      </x:c>
      <x:c r="K54" s="9" t="s">
        <x:v>518</x:v>
      </x:c>
      <x:c r="L54" s="9" t="s">
        <x:v>519</x:v>
      </x:c>
      <x:c r="M54" s="9" t="s">
        <x:v>519</x:v>
      </x:c>
      <x:c r="N54" s="9" t="s">
        <x:v>520</x:v>
      </x:c>
      <x:c r="O54" s="9" t="s">
        <x:v>52</x:v>
      </x:c>
      <x:c r="P54" s="9" t="s">
        <x:v>521</x:v>
      </x:c>
      <x:c r="Q54" s="9" t="s">
        <x:v>522</x:v>
      </x:c>
      <x:c r="R54" s="9" t="s">
        <x:v>1</x:v>
      </x:c>
      <x:c r="S54" s="9" t="s">
        <x:v>1</x:v>
      </x:c>
      <x:c r="T54" s="9" t="s">
        <x:v>1</x:v>
      </x:c>
      <x:c r="U54" s="9" t="s">
        <x:v>55</x:v>
      </x:c>
      <x:c r="V54" s="9" t="s">
        <x:v>55</x:v>
      </x:c>
      <x:c r="W54" s="9" t="s">
        <x:v>523</x:v>
      </x:c>
      <x:c r="X54" s="9" t="s">
        <x:v>1</x:v>
      </x:c>
      <x:c r="Y54" s="9" t="s">
        <x:v>156</x:v>
      </x:c>
    </x:row>
    <x:row r="55" ht="25" customHeight="1">
      <x:c r="A55" s="9" t="s">
        <x:v>524</x:v>
      </x:c>
      <x:c r="B55" s="9" t="s">
        <x:v>397</x:v>
      </x:c>
      <x:c r="C55" s="9" t="s">
        <x:v>363</x:v>
      </x:c>
      <x:c r="D55" s="9" t="s">
        <x:v>514</x:v>
      </x:c>
      <x:c r="E55" s="9" t="s">
        <x:v>525</x:v>
      </x:c>
      <x:c r="F55" s="9" t="s">
        <x:v>516</x:v>
      </x:c>
      <x:c r="G55" s="9" t="s">
        <x:v>229</x:v>
      </x:c>
      <x:c r="H55" s="9" t="s">
        <x:v>517</x:v>
      </x:c>
      <x:c r="I55" s="9" t="s">
        <x:v>47</x:v>
      </x:c>
      <x:c r="J55" s="9" t="s">
        <x:v>1</x:v>
      </x:c>
      <x:c r="K55" s="9" t="s">
        <x:v>526</x:v>
      </x:c>
      <x:c r="L55" s="9" t="s">
        <x:v>527</x:v>
      </x:c>
      <x:c r="M55" s="9" t="s">
        <x:v>528</x:v>
      </x:c>
      <x:c r="N55" s="9" t="s">
        <x:v>520</x:v>
      </x:c>
      <x:c r="O55" s="9" t="s">
        <x:v>52</x:v>
      </x:c>
      <x:c r="P55" s="9" t="s">
        <x:v>529</x:v>
      </x:c>
      <x:c r="Q55" s="9" t="s">
        <x:v>522</x:v>
      </x:c>
      <x:c r="R55" s="9" t="s">
        <x:v>1</x:v>
      </x:c>
      <x:c r="S55" s="9" t="s">
        <x:v>1</x:v>
      </x:c>
      <x:c r="T55" s="9" t="s">
        <x:v>1</x:v>
      </x:c>
      <x:c r="U55" s="9" t="s">
        <x:v>55</x:v>
      </x:c>
      <x:c r="V55" s="9" t="s">
        <x:v>55</x:v>
      </x:c>
      <x:c r="W55" s="9" t="s">
        <x:v>530</x:v>
      </x:c>
      <x:c r="X55" s="9" t="s">
        <x:v>1</x:v>
      </x:c>
      <x:c r="Y55" s="9" t="s">
        <x:v>156</x:v>
      </x:c>
    </x:row>
    <x:row r="56" ht="25" customHeight="1">
      <x:c r="A56" s="9" t="s">
        <x:v>531</x:v>
      </x:c>
      <x:c r="B56" s="9" t="s">
        <x:v>164</x:v>
      </x:c>
      <x:c r="C56" s="9" t="s">
        <x:v>363</x:v>
      </x:c>
      <x:c r="D56" s="9" t="s">
        <x:v>532</x:v>
      </x:c>
      <x:c r="E56" s="9" t="s">
        <x:v>533</x:v>
      </x:c>
      <x:c r="F56" s="9" t="s">
        <x:v>516</x:v>
      </x:c>
      <x:c r="G56" s="9" t="s">
        <x:v>229</x:v>
      </x:c>
      <x:c r="H56" s="9" t="s">
        <x:v>517</x:v>
      </x:c>
      <x:c r="I56" s="9" t="s">
        <x:v>47</x:v>
      </x:c>
      <x:c r="J56" s="9" t="s">
        <x:v>1</x:v>
      </x:c>
      <x:c r="K56" s="9" t="s">
        <x:v>534</x:v>
      </x:c>
      <x:c r="L56" s="9" t="s">
        <x:v>535</x:v>
      </x:c>
      <x:c r="M56" s="9" t="s">
        <x:v>535</x:v>
      </x:c>
      <x:c r="N56" s="9" t="s">
        <x:v>536</x:v>
      </x:c>
      <x:c r="O56" s="9" t="s">
        <x:v>52</x:v>
      </x:c>
      <x:c r="P56" s="9" t="s">
        <x:v>338</x:v>
      </x:c>
      <x:c r="Q56" s="9" t="s">
        <x:v>537</x:v>
      </x:c>
      <x:c r="R56" s="9" t="s">
        <x:v>1</x:v>
      </x:c>
      <x:c r="S56" s="9" t="s">
        <x:v>1</x:v>
      </x:c>
      <x:c r="T56" s="9" t="s">
        <x:v>1</x:v>
      </x:c>
      <x:c r="U56" s="9" t="s">
        <x:v>55</x:v>
      </x:c>
      <x:c r="V56" s="9" t="s">
        <x:v>55</x:v>
      </x:c>
      <x:c r="W56" s="9" t="s">
        <x:v>538</x:v>
      </x:c>
      <x:c r="X56" s="9" t="s">
        <x:v>1</x:v>
      </x:c>
      <x:c r="Y56" s="9" t="s">
        <x:v>156</x:v>
      </x:c>
    </x:row>
    <x:row r="57" ht="25" customHeight="1">
      <x:c r="A57" s="9" t="s">
        <x:v>539</x:v>
      </x:c>
      <x:c r="B57" s="9" t="s">
        <x:v>540</x:v>
      </x:c>
      <x:c r="C57" s="9" t="s">
        <x:v>363</x:v>
      </x:c>
      <x:c r="D57" s="9" t="s">
        <x:v>541</x:v>
      </x:c>
      <x:c r="E57" s="9" t="s">
        <x:v>542</x:v>
      </x:c>
      <x:c r="F57" s="9" t="s">
        <x:v>516</x:v>
      </x:c>
      <x:c r="G57" s="9" t="s">
        <x:v>229</x:v>
      </x:c>
      <x:c r="H57" s="9" t="s">
        <x:v>517</x:v>
      </x:c>
      <x:c r="I57" s="9" t="s">
        <x:v>47</x:v>
      </x:c>
      <x:c r="J57" s="9" t="s">
        <x:v>1</x:v>
      </x:c>
      <x:c r="K57" s="9" t="s">
        <x:v>543</x:v>
      </x:c>
      <x:c r="L57" s="9" t="s">
        <x:v>544</x:v>
      </x:c>
      <x:c r="M57" s="9" t="s">
        <x:v>544</x:v>
      </x:c>
      <x:c r="N57" s="9" t="s">
        <x:v>545</x:v>
      </x:c>
      <x:c r="O57" s="9" t="s">
        <x:v>52</x:v>
      </x:c>
      <x:c r="P57" s="9" t="s">
        <x:v>153</x:v>
      </x:c>
      <x:c r="Q57" s="9" t="s">
        <x:v>546</x:v>
      </x:c>
      <x:c r="R57" s="9" t="s">
        <x:v>1</x:v>
      </x:c>
      <x:c r="S57" s="9" t="s">
        <x:v>1</x:v>
      </x:c>
      <x:c r="T57" s="9" t="s">
        <x:v>1</x:v>
      </x:c>
      <x:c r="U57" s="9" t="s">
        <x:v>55</x:v>
      </x:c>
      <x:c r="V57" s="9" t="s">
        <x:v>55</x:v>
      </x:c>
      <x:c r="W57" s="9" t="s">
        <x:v>1</x:v>
      </x:c>
      <x:c r="X57" s="9" t="s">
        <x:v>1</x:v>
      </x:c>
      <x:c r="Y57" s="9" t="s">
        <x:v>156</x:v>
      </x:c>
    </x:row>
    <x:row r="58" ht="25" customHeight="1">
      <x:c r="A58" s="9" t="s">
        <x:v>547</x:v>
      </x:c>
      <x:c r="B58" s="9" t="s">
        <x:v>41</x:v>
      </x:c>
      <x:c r="C58" s="9" t="s">
        <x:v>363</x:v>
      </x:c>
      <x:c r="D58" s="9" t="s">
        <x:v>541</x:v>
      </x:c>
      <x:c r="E58" s="9" t="s">
        <x:v>542</x:v>
      </x:c>
      <x:c r="F58" s="9" t="s">
        <x:v>516</x:v>
      </x:c>
      <x:c r="G58" s="9" t="s">
        <x:v>229</x:v>
      </x:c>
      <x:c r="H58" s="9" t="s">
        <x:v>517</x:v>
      </x:c>
      <x:c r="I58" s="9" t="s">
        <x:v>47</x:v>
      </x:c>
      <x:c r="J58" s="9" t="s">
        <x:v>1</x:v>
      </x:c>
      <x:c r="K58" s="9" t="s">
        <x:v>548</x:v>
      </x:c>
      <x:c r="L58" s="9" t="s">
        <x:v>549</x:v>
      </x:c>
      <x:c r="M58" s="9" t="s">
        <x:v>549</x:v>
      </x:c>
      <x:c r="N58" s="9" t="s">
        <x:v>550</x:v>
      </x:c>
      <x:c r="O58" s="9" t="s">
        <x:v>52</x:v>
      </x:c>
      <x:c r="P58" s="9" t="s">
        <x:v>153</x:v>
      </x:c>
      <x:c r="Q58" s="9" t="s">
        <x:v>551</x:v>
      </x:c>
      <x:c r="R58" s="9" t="s">
        <x:v>1</x:v>
      </x:c>
      <x:c r="S58" s="9" t="s">
        <x:v>1</x:v>
      </x:c>
      <x:c r="T58" s="9" t="s">
        <x:v>1</x:v>
      </x:c>
      <x:c r="U58" s="9" t="s">
        <x:v>55</x:v>
      </x:c>
      <x:c r="V58" s="9" t="s">
        <x:v>55</x:v>
      </x:c>
      <x:c r="W58" s="9" t="s">
        <x:v>1</x:v>
      </x:c>
      <x:c r="X58" s="9" t="s">
        <x:v>1</x:v>
      </x:c>
      <x:c r="Y58" s="9" t="s">
        <x:v>156</x:v>
      </x:c>
    </x:row>
    <x:row r="59" ht="25" customHeight="1">
      <x:c r="A59" s="9" t="s">
        <x:v>552</x:v>
      </x:c>
      <x:c r="B59" s="9" t="s">
        <x:v>41</x:v>
      </x:c>
      <x:c r="C59" s="9" t="s">
        <x:v>363</x:v>
      </x:c>
      <x:c r="D59" s="9" t="s">
        <x:v>541</x:v>
      </x:c>
      <x:c r="E59" s="9" t="s">
        <x:v>542</x:v>
      </x:c>
      <x:c r="F59" s="9" t="s">
        <x:v>516</x:v>
      </x:c>
      <x:c r="G59" s="9" t="s">
        <x:v>229</x:v>
      </x:c>
      <x:c r="H59" s="9" t="s">
        <x:v>517</x:v>
      </x:c>
      <x:c r="I59" s="9" t="s">
        <x:v>47</x:v>
      </x:c>
      <x:c r="J59" s="9" t="s">
        <x:v>1</x:v>
      </x:c>
      <x:c r="K59" s="9" t="s">
        <x:v>553</x:v>
      </x:c>
      <x:c r="L59" s="9" t="s">
        <x:v>554</x:v>
      </x:c>
      <x:c r="M59" s="9" t="s">
        <x:v>554</x:v>
      </x:c>
      <x:c r="N59" s="9" t="s">
        <x:v>550</x:v>
      </x:c>
      <x:c r="O59" s="9" t="s">
        <x:v>52</x:v>
      </x:c>
      <x:c r="P59" s="9" t="s">
        <x:v>153</x:v>
      </x:c>
      <x:c r="Q59" s="9" t="s">
        <x:v>546</x:v>
      </x:c>
      <x:c r="R59" s="9" t="s">
        <x:v>1</x:v>
      </x:c>
      <x:c r="S59" s="9" t="s">
        <x:v>1</x:v>
      </x:c>
      <x:c r="T59" s="9" t="s">
        <x:v>1</x:v>
      </x:c>
      <x:c r="U59" s="9" t="s">
        <x:v>55</x:v>
      </x:c>
      <x:c r="V59" s="9" t="s">
        <x:v>55</x:v>
      </x:c>
      <x:c r="W59" s="9" t="s">
        <x:v>1</x:v>
      </x:c>
      <x:c r="X59" s="9" t="s">
        <x:v>1</x:v>
      </x:c>
      <x:c r="Y59" s="9" t="s">
        <x:v>156</x:v>
      </x:c>
    </x:row>
    <x:row r="60" ht="25" customHeight="1">
      <x:c r="A60" s="9" t="s">
        <x:v>555</x:v>
      </x:c>
      <x:c r="B60" s="9" t="s">
        <x:v>164</x:v>
      </x:c>
      <x:c r="C60" s="9" t="s">
        <x:v>363</x:v>
      </x:c>
      <x:c r="D60" s="9" t="s">
        <x:v>541</x:v>
      </x:c>
      <x:c r="E60" s="9" t="s">
        <x:v>556</x:v>
      </x:c>
      <x:c r="F60" s="9" t="s">
        <x:v>516</x:v>
      </x:c>
      <x:c r="G60" s="9" t="s">
        <x:v>229</x:v>
      </x:c>
      <x:c r="H60" s="9" t="s">
        <x:v>517</x:v>
      </x:c>
      <x:c r="I60" s="9" t="s">
        <x:v>47</x:v>
      </x:c>
      <x:c r="J60" s="9" t="s">
        <x:v>1</x:v>
      </x:c>
      <x:c r="K60" s="9" t="s">
        <x:v>557</x:v>
      </x:c>
      <x:c r="L60" s="9" t="s">
        <x:v>558</x:v>
      </x:c>
      <x:c r="M60" s="9" t="s">
        <x:v>558</x:v>
      </x:c>
      <x:c r="N60" s="9" t="s">
        <x:v>559</x:v>
      </x:c>
      <x:c r="O60" s="9" t="s">
        <x:v>52</x:v>
      </x:c>
      <x:c r="P60" s="9" t="s">
        <x:v>153</x:v>
      </x:c>
      <x:c r="Q60" s="9" t="s">
        <x:v>560</x:v>
      </x:c>
      <x:c r="R60" s="9" t="s">
        <x:v>1</x:v>
      </x:c>
      <x:c r="S60" s="9" t="s">
        <x:v>1</x:v>
      </x:c>
      <x:c r="T60" s="9" t="s">
        <x:v>1</x:v>
      </x:c>
      <x:c r="U60" s="9" t="s">
        <x:v>55</x:v>
      </x:c>
      <x:c r="V60" s="9" t="s">
        <x:v>55</x:v>
      </x:c>
      <x:c r="W60" s="9" t="s">
        <x:v>1</x:v>
      </x:c>
      <x:c r="X60" s="9" t="s">
        <x:v>1</x:v>
      </x:c>
      <x:c r="Y60" s="9" t="s">
        <x:v>156</x:v>
      </x:c>
    </x:row>
    <x:row r="61" ht="25" customHeight="1">
      <x:c r="A61" s="9" t="s">
        <x:v>561</x:v>
      </x:c>
      <x:c r="B61" s="9" t="s">
        <x:v>205</x:v>
      </x:c>
      <x:c r="C61" s="9" t="s">
        <x:v>363</x:v>
      </x:c>
      <x:c r="D61" s="9" t="s">
        <x:v>541</x:v>
      </x:c>
      <x:c r="E61" s="9" t="s">
        <x:v>562</x:v>
      </x:c>
      <x:c r="F61" s="9" t="s">
        <x:v>516</x:v>
      </x:c>
      <x:c r="G61" s="9" t="s">
        <x:v>229</x:v>
      </x:c>
      <x:c r="H61" s="9" t="s">
        <x:v>517</x:v>
      </x:c>
      <x:c r="I61" s="9" t="s">
        <x:v>47</x:v>
      </x:c>
      <x:c r="J61" s="9" t="s">
        <x:v>1</x:v>
      </x:c>
      <x:c r="K61" s="9" t="s">
        <x:v>563</x:v>
      </x:c>
      <x:c r="L61" s="9" t="s">
        <x:v>564</x:v>
      </x:c>
      <x:c r="M61" s="9" t="s">
        <x:v>564</x:v>
      </x:c>
      <x:c r="N61" s="9" t="s">
        <x:v>565</x:v>
      </x:c>
      <x:c r="O61" s="9" t="s">
        <x:v>52</x:v>
      </x:c>
      <x:c r="P61" s="9" t="s">
        <x:v>153</x:v>
      </x:c>
      <x:c r="Q61" s="9" t="s">
        <x:v>566</x:v>
      </x:c>
      <x:c r="R61" s="9" t="s">
        <x:v>1</x:v>
      </x:c>
      <x:c r="S61" s="9" t="s">
        <x:v>1</x:v>
      </x:c>
      <x:c r="T61" s="9" t="s">
        <x:v>1</x:v>
      </x:c>
      <x:c r="U61" s="9" t="s">
        <x:v>55</x:v>
      </x:c>
      <x:c r="V61" s="9" t="s">
        <x:v>55</x:v>
      </x:c>
      <x:c r="W61" s="9" t="s">
        <x:v>1</x:v>
      </x:c>
      <x:c r="X61" s="9" t="s">
        <x:v>1</x:v>
      </x:c>
      <x:c r="Y61" s="9" t="s">
        <x:v>156</x:v>
      </x:c>
    </x:row>
    <x:row r="62" ht="25" customHeight="1">
      <x:c r="A62" s="9" t="s">
        <x:v>567</x:v>
      </x:c>
      <x:c r="B62" s="9" t="s">
        <x:v>164</x:v>
      </x:c>
      <x:c r="C62" s="9" t="s">
        <x:v>363</x:v>
      </x:c>
      <x:c r="D62" s="9" t="s">
        <x:v>541</x:v>
      </x:c>
      <x:c r="E62" s="9" t="s">
        <x:v>568</x:v>
      </x:c>
      <x:c r="F62" s="9" t="s">
        <x:v>516</x:v>
      </x:c>
      <x:c r="G62" s="9" t="s">
        <x:v>229</x:v>
      </x:c>
      <x:c r="H62" s="9" t="s">
        <x:v>517</x:v>
      </x:c>
      <x:c r="I62" s="9" t="s">
        <x:v>47</x:v>
      </x:c>
      <x:c r="J62" s="9" t="s">
        <x:v>1</x:v>
      </x:c>
      <x:c r="K62" s="9" t="s">
        <x:v>569</x:v>
      </x:c>
      <x:c r="L62" s="9" t="s">
        <x:v>570</x:v>
      </x:c>
      <x:c r="M62" s="9" t="s">
        <x:v>570</x:v>
      </x:c>
      <x:c r="N62" s="9" t="s">
        <x:v>559</x:v>
      </x:c>
      <x:c r="O62" s="9" t="s">
        <x:v>52</x:v>
      </x:c>
      <x:c r="P62" s="9" t="s">
        <x:v>153</x:v>
      </x:c>
      <x:c r="Q62" s="9" t="s">
        <x:v>571</x:v>
      </x:c>
      <x:c r="R62" s="9" t="s">
        <x:v>1</x:v>
      </x:c>
      <x:c r="S62" s="9" t="s">
        <x:v>1</x:v>
      </x:c>
      <x:c r="T62" s="9" t="s">
        <x:v>1</x:v>
      </x:c>
      <x:c r="U62" s="9" t="s">
        <x:v>55</x:v>
      </x:c>
      <x:c r="V62" s="9" t="s">
        <x:v>55</x:v>
      </x:c>
      <x:c r="W62" s="9" t="s">
        <x:v>1</x:v>
      </x:c>
      <x:c r="X62" s="9" t="s">
        <x:v>1</x:v>
      </x:c>
      <x:c r="Y62" s="9" t="s">
        <x:v>156</x:v>
      </x:c>
    </x:row>
    <x:row r="63" ht="25" customHeight="1">
      <x:c r="A63" s="9" t="s">
        <x:v>572</x:v>
      </x:c>
      <x:c r="B63" s="9" t="s">
        <x:v>540</x:v>
      </x:c>
      <x:c r="C63" s="9" t="s">
        <x:v>363</x:v>
      </x:c>
      <x:c r="D63" s="9" t="s">
        <x:v>541</x:v>
      </x:c>
      <x:c r="E63" s="9" t="s">
        <x:v>573</x:v>
      </x:c>
      <x:c r="F63" s="9" t="s">
        <x:v>516</x:v>
      </x:c>
      <x:c r="G63" s="9" t="s">
        <x:v>229</x:v>
      </x:c>
      <x:c r="H63" s="9" t="s">
        <x:v>517</x:v>
      </x:c>
      <x:c r="I63" s="9" t="s">
        <x:v>47</x:v>
      </x:c>
      <x:c r="J63" s="9" t="s">
        <x:v>1</x:v>
      </x:c>
      <x:c r="K63" s="9" t="s">
        <x:v>574</x:v>
      </x:c>
      <x:c r="L63" s="9" t="s">
        <x:v>575</x:v>
      </x:c>
      <x:c r="M63" s="9" t="s">
        <x:v>575</x:v>
      </x:c>
      <x:c r="N63" s="9" t="s">
        <x:v>545</x:v>
      </x:c>
      <x:c r="O63" s="9" t="s">
        <x:v>52</x:v>
      </x:c>
      <x:c r="P63" s="9" t="s">
        <x:v>153</x:v>
      </x:c>
      <x:c r="Q63" s="9" t="s">
        <x:v>576</x:v>
      </x:c>
      <x:c r="R63" s="9" t="s">
        <x:v>1</x:v>
      </x:c>
      <x:c r="S63" s="9" t="s">
        <x:v>1</x:v>
      </x:c>
      <x:c r="T63" s="9" t="s">
        <x:v>1</x:v>
      </x:c>
      <x:c r="U63" s="9" t="s">
        <x:v>55</x:v>
      </x:c>
      <x:c r="V63" s="9" t="s">
        <x:v>55</x:v>
      </x:c>
      <x:c r="W63" s="9" t="s">
        <x:v>1</x:v>
      </x:c>
      <x:c r="X63" s="9" t="s">
        <x:v>1</x:v>
      </x:c>
      <x:c r="Y63" s="9" t="s">
        <x:v>156</x:v>
      </x:c>
    </x:row>
    <x:row r="64" ht="25" customHeight="1">
      <x:c r="A64" s="9" t="s">
        <x:v>577</x:v>
      </x:c>
      <x:c r="B64" s="9" t="s">
        <x:v>578</x:v>
      </x:c>
      <x:c r="C64" s="9" t="s">
        <x:v>363</x:v>
      </x:c>
      <x:c r="D64" s="9" t="s">
        <x:v>541</x:v>
      </x:c>
      <x:c r="E64" s="9" t="s">
        <x:v>579</x:v>
      </x:c>
      <x:c r="F64" s="9" t="s">
        <x:v>516</x:v>
      </x:c>
      <x:c r="G64" s="9" t="s">
        <x:v>229</x:v>
      </x:c>
      <x:c r="H64" s="9" t="s">
        <x:v>517</x:v>
      </x:c>
      <x:c r="I64" s="9" t="s">
        <x:v>47</x:v>
      </x:c>
      <x:c r="J64" s="9" t="s">
        <x:v>1</x:v>
      </x:c>
      <x:c r="K64" s="9" t="s">
        <x:v>580</x:v>
      </x:c>
      <x:c r="L64" s="9" t="s">
        <x:v>581</x:v>
      </x:c>
      <x:c r="M64" s="9" t="s">
        <x:v>581</x:v>
      </x:c>
      <x:c r="N64" s="9" t="s">
        <x:v>582</x:v>
      </x:c>
      <x:c r="O64" s="9" t="s">
        <x:v>52</x:v>
      </x:c>
      <x:c r="P64" s="9" t="s">
        <x:v>338</x:v>
      </x:c>
      <x:c r="Q64" s="9" t="s">
        <x:v>583</x:v>
      </x:c>
      <x:c r="R64" s="9" t="s">
        <x:v>1</x:v>
      </x:c>
      <x:c r="S64" s="9" t="s">
        <x:v>1</x:v>
      </x:c>
      <x:c r="T64" s="9" t="s">
        <x:v>1</x:v>
      </x:c>
      <x:c r="U64" s="9" t="s">
        <x:v>55</x:v>
      </x:c>
      <x:c r="V64" s="9" t="s">
        <x:v>55</x:v>
      </x:c>
      <x:c r="W64" s="9" t="s">
        <x:v>584</x:v>
      </x:c>
      <x:c r="X64" s="9" t="s">
        <x:v>1</x:v>
      </x:c>
      <x:c r="Y64" s="9" t="s">
        <x:v>156</x:v>
      </x:c>
    </x:row>
    <x:row r="65">
      <x:c r="A65" s="11" t="str">
        <x:v>64</x:v>
      </x:c>
      <x:c r="B65" s="11" t="str">
        <x:v>2026-07-12</x:v>
      </x:c>
      <x:c r="C65" s="11" t="str">
        <x:v>原始网页</x:v>
      </x:c>
      <x:c r="D65" s="11" t="str">
        <x:v>B站</x:v>
      </x:c>
      <x:c r="E65" s="11" t="str">
        <x:v>咸鱼弟弟dd</x:v>
      </x:c>
      <x:c r="F65" s="11" t="str">
        <x:v>用户评论</x:v>
      </x:c>
      <x:c r="G65" s="11" t="str">
        <x:v>全国</x:v>
      </x:c>
      <x:c r="H65" s="11" t="str">
        <x:v>非地方行政</x:v>
      </x:c>
      <x:c r="I65" s="11" t="str">
        <x:v>中文</x:v>
      </x:c>
      <x:c r="J65" s="11" t="str">
        <x:v>1</x:v>
      </x:c>
      <x:c r="K65" s="11" t="str">
        <x:v>评论区：从描述来看感觉有点激进，希望后面的司法解释能够做得好，尽量瞄准正确的对象</x:v>
      </x:c>
      <x:c r="L65" s="11" t="str">
        <x:v>从描述来看感觉有点激进，希望后面的司法解释能够做得好，尽量瞄准正确的对象</x:v>
      </x:c>
      <x:c r="M65" s="11" t="str">
        <x:v>用户对法律执行和后续司法解释表达担忧，希望执法对象界定更准确。</x:v>
      </x:c>
      <x:c r="N65" s="11" t="str">
        <x:v>母视频具体链接待补（原文件仅留存“B站 2026-07-12”）</x:v>
      </x:c>
      <x:c r="O65" s="11" t="str">
        <x:v>A</x:v>
      </x:c>
      <x:c r="P65" s="11" t="str">
        <x:v>担忧影响</x:v>
      </x:c>
      <x:c r="Q65" s="11" t="str">
        <x:v>法律实施与执行</x:v>
      </x:c>
      <x:c r="R65" s="11" t="n">
        <x:v>1</x:v>
      </x:c>
      <x:c r="S65" s="11" t="n">
        <x:v>1</x:v>
      </x:c>
      <x:c r="T65" s="11" t="n">
        <x:v>1</x:v>
      </x:c>
      <x:c r="U65" s="11" t="str">
        <x:v>否</x:v>
      </x:c>
      <x:c r="V65" s="11" t="str">
        <x:v>是</x:v>
      </x:c>
      <x:c r="W65" s="11" t="str">
        <x:v>已根据原评论文本复核：该评论明确针对本法执行及后续司法解释表达担忧，应恢复计入公众统计。当前文件未保留母视频具体URL和截图，需补证。</x:v>
      </x:c>
      <x:c r="X65" s="11" t="str">
        <x:v>无</x:v>
      </x:c>
      <x:c r="Y65" s="11" t="str">
        <x:v>是</x:v>
      </x:c>
    </x:row>
    <x:row r="66">
      <x:c r="A66" s="11" t="str">
        <x:v>65</x:v>
      </x:c>
      <x:c r="B66" s="11" t="str">
        <x:v>2026-08-02</x:v>
      </x:c>
      <x:c r="C66" s="11" t="str">
        <x:v>原始网页</x:v>
      </x:c>
      <x:c r="D66" s="11" t="str">
        <x:v>小红书</x:v>
      </x:c>
      <x:c r="E66" s="11" t="str">
        <x:v>momo</x:v>
      </x:c>
      <x:c r="F66" s="11" t="str">
        <x:v>用户评论</x:v>
      </x:c>
      <x:c r="G66" s="11" t="str">
        <x:v>贵州</x:v>
      </x:c>
      <x:c r="H66" s="11" t="str">
        <x:v>省</x:v>
      </x:c>
      <x:c r="I66" s="11" t="str">
        <x:v>中文</x:v>
      </x:c>
      <x:c r="J66" s="11" t="str">
        <x:v>1</x:v>
      </x:c>
      <x:c r="K66" s="11" t="str">
        <x:v>评论区：要警惕近年来伊斯兰教在国内的野蛮生长</x:v>
      </x:c>
      <x:c r="L66" s="11" t="str">
        <x:v>要警惕近年来伊斯兰教在国内的野蛮生长</x:v>
      </x:c>
      <x:c r="M66" s="11" t="str">
        <x:v>用户批评对象为宗教极端化现象，并非直接批评本法；保留为其他/中性公众观点。</x:v>
      </x:c>
      <x:c r="N66" s="11" t="str">
        <x:v>母帖具体链接待补（原文件仅留存“小红书 2026-08-02”）</x:v>
      </x:c>
      <x:c r="O66" s="11" t="str">
        <x:v>B</x:v>
      </x:c>
      <x:c r="P66" s="11" t="str">
        <x:v>中性信息</x:v>
      </x:c>
      <x:c r="Q66" s="11" t="str">
        <x:v>宗教与民族团结</x:v>
      </x:c>
      <x:c r="R66" s="11" t="n">
        <x:v>1</x:v>
      </x:c>
      <x:c r="S66" s="11" t="n">
        <x:v>1</x:v>
      </x:c>
      <x:c r="T66" s="11" t="n">
        <x:v>1</x:v>
      </x:c>
      <x:c r="U66" s="11" t="str">
        <x:v>否</x:v>
      </x:c>
      <x:c r="V66" s="11" t="str">
        <x:v>是</x:v>
      </x:c>
      <x:c r="W66" s="11" t="str">
        <x:v>已复核：批评对象为宗教极端化现象，非直接批评本法；不再归为明确批评，恢复为中性信息。当前文件未留存母帖具体URL和截图，需补证。</x:v>
      </x:c>
      <x:c r="X66" s="11" t="str">
        <x:v>无</x:v>
      </x:c>
      <x:c r="Y66" s="11" t="str">
        <x:v>是</x:v>
      </x:c>
    </x:row>
  </x:sheetData>
  <x:pageMargins left="0.7" right="0.7" top="0.75" bottom="0.75" header="0.3" footer="0.3"/>
</x:worksheet>
</file>

<file path=xl/worksheets/sheet9.xml><?xml version="1.0" encoding="utf-8"?>
<x:worksheet xmlns:x="http://schemas.openxmlformats.org/spreadsheetml/2006/main">
  <x:sheetFormatPr defaultColWidth="9" defaultRowHeight="14"/>
  <x:cols>
    <x:col min="1" max="1" width="35" customWidth="1"/>
    <x:col min="2" max="2" width="15" customWidth="1"/>
    <x:col min="3" max="3" width="30" customWidth="1"/>
    <x:col min="4" max="4" width="45" customWidth="1"/>
  </x:cols>
  <x:sheetData>
    <x:row r="1" ht="30" customHeight="1">
      <x:c r="A1" s="1" t="s">
        <x:v>788</x:v>
      </x:c>
      <x:c r="B1" s="1" t="s">
        <x:v>789</x:v>
      </x:c>
      <x:c r="C1" s="1" t="s">
        <x:v>790</x:v>
      </x:c>
      <x:c r="D1" s="1" t="s">
        <x:v>743</x:v>
      </x:c>
    </x:row>
    <x:row r="2" ht="22" customHeight="1">
      <x:c r="A2" s="3" t="s">
        <x:v>747</x:v>
      </x:c>
      <x:c r="B2" s="3" t="s">
        <x:v>791</x:v>
      </x:c>
      <x:c r="C2" s="3" t="s">
        <x:v>792</x:v>
      </x:c>
      <x:c r="D2" s="3" t="s">
        <x:v>748</x:v>
      </x:c>
    </x:row>
    <x:row r="3" ht="22" customHeight="1">
      <x:c r="A3" s="3" t="s">
        <x:v>793</x:v>
      </x:c>
      <x:c r="B3" s="3" t="s">
        <x:v>791</x:v>
      </x:c>
      <x:c r="C3" s="3" t="s">
        <x:v>792</x:v>
      </x:c>
      <x:c r="D3" s="3" t="s">
        <x:v>794</x:v>
      </x:c>
    </x:row>
    <x:row r="4" ht="22" customHeight="1">
      <x:c r="A4" s="3" t="s">
        <x:v>43</x:v>
      </x:c>
      <x:c r="B4" s="3" t="s">
        <x:v>791</x:v>
      </x:c>
      <x:c r="C4" s="3" t="s">
        <x:v>795</x:v>
      </x:c>
      <x:c r="D4" s="3" t="s">
        <x:v>796</x:v>
      </x:c>
    </x:row>
    <x:row r="5" ht="22" customHeight="1">
      <x:c r="A5" s="3" t="s">
        <x:v>630</x:v>
      </x:c>
      <x:c r="B5" s="3" t="s">
        <x:v>791</x:v>
      </x:c>
      <x:c r="C5" s="3" t="s">
        <x:v>792</x:v>
      </x:c>
      <x:c r="D5" s="3" t="s">
        <x:v>756</x:v>
      </x:c>
    </x:row>
    <x:row r="6" ht="22" customHeight="1">
      <x:c r="A6" s="3" t="s">
        <x:v>128</x:v>
      </x:c>
      <x:c r="B6" s="3" t="s">
        <x:v>791</x:v>
      </x:c>
      <x:c r="C6" s="3" t="s">
        <x:v>797</x:v>
      </x:c>
      <x:c r="D6" s="3" t="s">
        <x:v>760</x:v>
      </x:c>
    </x:row>
    <x:row r="7" ht="22" customHeight="1">
      <x:c r="A7" s="3" t="s">
        <x:v>697</x:v>
      </x:c>
      <x:c r="B7" s="3" t="s">
        <x:v>791</x:v>
      </x:c>
      <x:c r="C7" s="3" t="s">
        <x:v>792</x:v>
      </x:c>
      <x:c r="D7" s="3" t="s">
        <x:v>798</x:v>
      </x:c>
    </x:row>
    <x:row r="8" ht="22" customHeight="1">
      <x:c r="A8" s="3" t="s">
        <x:v>799</x:v>
      </x:c>
      <x:c r="B8" s="3" t="s">
        <x:v>791</x:v>
      </x:c>
      <x:c r="C8" s="3" t="s">
        <x:v>792</x:v>
      </x:c>
      <x:c r="D8" s="3" t="s">
        <x:v>800</x:v>
      </x:c>
    </x:row>
    <x:row r="9" ht="22" customHeight="1">
      <x:c r="A9" s="3" t="s">
        <x:v>801</x:v>
      </x:c>
      <x:c r="B9" s="3" t="s">
        <x:v>791</x:v>
      </x:c>
      <x:c r="C9" s="3" t="s">
        <x:v>792</x:v>
      </x:c>
      <x:c r="D9" s="3" t="s">
        <x:v>802</x:v>
      </x:c>
    </x:row>
    <x:row r="10" ht="22" customHeight="1">
      <x:c r="A10" s="3" t="s">
        <x:v>165</x:v>
      </x:c>
      <x:c r="B10" s="3" t="s">
        <x:v>791</x:v>
      </x:c>
      <x:c r="C10" s="3" t="s">
        <x:v>792</x:v>
      </x:c>
      <x:c r="D10" s="3" t="s">
        <x:v>803</x:v>
      </x:c>
    </x:row>
    <x:row r="11" ht="22" customHeight="1">
      <x:c r="A11" s="3" t="s">
        <x:v>774</x:v>
      </x:c>
      <x:c r="B11" s="3" t="s">
        <x:v>791</x:v>
      </x:c>
      <x:c r="C11" s="3" t="s">
        <x:v>792</x:v>
      </x:c>
      <x:c r="D11" s="3" t="s">
        <x:v>775</x:v>
      </x:c>
    </x:row>
    <x:row r="12" ht="22" customHeight="1">
      <x:c r="A12" s="3" t="s">
        <x:v>621</x:v>
      </x:c>
      <x:c r="B12" s="3" t="s">
        <x:v>791</x:v>
      </x:c>
      <x:c r="C12" s="3" t="s">
        <x:v>792</x:v>
      </x:c>
      <x:c r="D12" s="3" t="s">
        <x:v>779</x:v>
      </x:c>
    </x:row>
    <x:row r="13" ht="22" customHeight="1">
      <x:c r="A13" s="3" t="s">
        <x:v>616</x:v>
      </x:c>
      <x:c r="B13" s="3" t="s">
        <x:v>791</x:v>
      </x:c>
      <x:c r="C13" s="3" t="s">
        <x:v>804</x:v>
      </x:c>
      <x:c r="D13" s="3" t="s">
        <x:v>805</x:v>
      </x:c>
    </x:row>
    <x:row r="14" ht="22" customHeight="1">
      <x:c r="A14" s="3" t="s">
        <x:v>806</x:v>
      </x:c>
      <x:c r="B14" s="3" t="s">
        <x:v>791</x:v>
      </x:c>
      <x:c r="C14" s="3" t="s">
        <x:v>804</x:v>
      </x:c>
      <x:c r="D14" s="3" t="s">
        <x:v>807</x:v>
      </x:c>
    </x:row>
    <x:row r="15" ht="22" customHeight="1">
      <x:c r="A15" s="3" t="s">
        <x:v>808</x:v>
      </x:c>
      <x:c r="B15" s="3" t="s">
        <x:v>809</x:v>
      </x:c>
      <x:c r="C15" s="3" t="s">
        <x:v>810</x:v>
      </x:c>
      <x:c r="D15" s="3" t="s">
        <x:v>811</x:v>
      </x:c>
    </x:row>
    <x:row r="16" ht="22" customHeight="1">
      <x:c r="A16" s="3" t="s">
        <x:v>176</x:v>
      </x:c>
      <x:c r="B16" s="3" t="s">
        <x:v>791</x:v>
      </x:c>
      <x:c r="C16" s="3" t="s">
        <x:v>812</x:v>
      </x:c>
      <x:c r="D16" s="3" t="s">
        <x:v>813</x:v>
      </x:c>
    </x:row>
    <x:row r="17" ht="22" customHeight="1">
      <x:c r="A17" s="3" t="s">
        <x:v>814</x:v>
      </x:c>
      <x:c r="B17" s="3" t="s">
        <x:v>791</x:v>
      </x:c>
      <x:c r="C17" s="3" t="s">
        <x:v>815</x:v>
      </x:c>
      <x:c r="D17" s="3" t="s">
        <x:v>816</x:v>
      </x:c>
    </x:row>
    <x:row r="18" ht="22" customHeight="1">
      <x:c r="A18" s="3" t="s">
        <x:v>663</x:v>
      </x:c>
      <x:c r="B18" s="3" t="s">
        <x:v>817</x:v>
      </x:c>
      <x:c r="C18" s="3" t="s">
        <x:v>818</x:v>
      </x:c>
      <x:c r="D18" s="3" t="s">
        <x:v>784</x:v>
      </x:c>
    </x:row>
    <x:row r="19" ht="22" customHeight="1">
      <x:c r="A19" s="3" t="s">
        <x:v>671</x:v>
      </x:c>
      <x:c r="B19" s="3" t="s">
        <x:v>817</x:v>
      </x:c>
      <x:c r="C19" s="3" t="s">
        <x:v>818</x:v>
      </x:c>
      <x:c r="D19" s="3" t="s">
        <x:v>784</x:v>
      </x:c>
    </x:row>
    <x:row r="20" ht="22" customHeight="1">
      <x:c r="A20" s="3" t="s">
        <x:v>676</x:v>
      </x:c>
      <x:c r="B20" s="3" t="s">
        <x:v>817</x:v>
      </x:c>
      <x:c r="C20" s="3" t="s">
        <x:v>818</x:v>
      </x:c>
      <x:c r="D20" s="3" t="s">
        <x:v>784</x:v>
      </x:c>
    </x:row>
    <x:row r="21" ht="22" customHeight="1">
      <x:c r="A21" s="3" t="s">
        <x:v>682</x:v>
      </x:c>
      <x:c r="B21" s="3" t="s">
        <x:v>817</x:v>
      </x:c>
      <x:c r="C21" s="3" t="s">
        <x:v>818</x:v>
      </x:c>
      <x:c r="D21" s="3" t="s">
        <x:v>784</x:v>
      </x:c>
    </x:row>
    <x:row r="22" ht="22" customHeight="1">
      <x:c r="A22" s="3" t="s">
        <x:v>687</x:v>
      </x:c>
      <x:c r="B22" s="3" t="s">
        <x:v>817</x:v>
      </x:c>
      <x:c r="C22" s="3" t="s">
        <x:v>818</x:v>
      </x:c>
      <x:c r="D22" s="3" t="s">
        <x:v>784</x:v>
      </x:c>
    </x:row>
    <x:row r="23" ht="22" customHeight="1">
      <x:c r="A23" s="3" t="s">
        <x:v>125</x:v>
      </x:c>
      <x:c r="B23" s="3" t="s">
        <x:v>817</x:v>
      </x:c>
      <x:c r="C23" s="3" t="s">
        <x:v>819</x:v>
      </x:c>
      <x:c r="D23" s="3" t="s">
        <x:v>784</x:v>
      </x:c>
    </x:row>
    <x:row r="24" ht="22" customHeight="1">
      <x:c r="A24" s="3" t="s">
        <x:v>697</x:v>
      </x:c>
      <x:c r="B24" s="3" t="s">
        <x:v>817</x:v>
      </x:c>
      <x:c r="C24" s="3" t="s">
        <x:v>818</x:v>
      </x:c>
      <x:c r="D24" s="3" t="s">
        <x:v>784</x:v>
      </x:c>
    </x:row>
    <x:row r="25" ht="22" customHeight="1">
      <x:c r="A25" s="3" t="s">
        <x:v>139</x:v>
      </x:c>
      <x:c r="B25" s="3" t="s">
        <x:v>817</x:v>
      </x:c>
      <x:c r="C25" s="3" t="s">
        <x:v>818</x:v>
      </x:c>
      <x:c r="D25" s="3" t="s">
        <x:v>784</x:v>
      </x:c>
    </x:row>
    <x:row r="26" ht="22" customHeight="1">
      <x:c r="A26" s="3" t="s">
        <x:v>706</x:v>
      </x:c>
      <x:c r="B26" s="3" t="s">
        <x:v>817</x:v>
      </x:c>
      <x:c r="C26" s="3" t="s">
        <x:v>818</x:v>
      </x:c>
      <x:c r="D26" s="3" t="s">
        <x:v>784</x:v>
      </x:c>
    </x:row>
    <x:row r="27" ht="22" customHeight="1">
      <x:c r="A27" s="3" t="s">
        <x:v>712</x:v>
      </x:c>
      <x:c r="B27" s="3" t="s">
        <x:v>817</x:v>
      </x:c>
      <x:c r="C27" s="3" t="s">
        <x:v>818</x:v>
      </x:c>
      <x:c r="D27" s="3" t="s">
        <x:v>784</x:v>
      </x:c>
    </x:row>
    <x:row r="28" ht="22" customHeight="1">
      <x:c r="A28" s="3" t="s">
        <x:v>203</x:v>
      </x:c>
      <x:c r="B28" s="3" t="s">
        <x:v>817</x:v>
      </x:c>
      <x:c r="C28" s="3" t="s">
        <x:v>818</x:v>
      </x:c>
      <x:c r="D28" s="3" t="s">
        <x:v>784</x:v>
      </x:c>
    </x:row>
    <x:row r="29" ht="22" customHeight="1">
      <x:c r="A29" s="3" t="s">
        <x:v>721</x:v>
      </x:c>
      <x:c r="B29" s="3" t="s">
        <x:v>817</x:v>
      </x:c>
      <x:c r="C29" s="3" t="s">
        <x:v>818</x:v>
      </x:c>
      <x:c r="D29" s="3" t="s">
        <x:v>784</x:v>
      </x:c>
    </x:row>
    <x:row r="30" ht="22" customHeight="1">
      <x:c r="A30" s="3" t="s">
        <x:v>726</x:v>
      </x:c>
      <x:c r="B30" s="3" t="s">
        <x:v>817</x:v>
      </x:c>
      <x:c r="C30" s="3" t="s">
        <x:v>818</x:v>
      </x:c>
      <x:c r="D30" s="3" t="s">
        <x:v>784</x:v>
      </x:c>
    </x:row>
    <x:row r="31" ht="22" customHeight="1">
      <x:c r="A31" s="3" t="s">
        <x:v>731</x:v>
      </x:c>
      <x:c r="B31" s="3" t="s">
        <x:v>817</x:v>
      </x:c>
      <x:c r="C31" s="3" t="s">
        <x:v>818</x:v>
      </x:c>
      <x:c r="D31" s="3" t="s">
        <x:v>784</x:v>
      </x:c>
    </x:row>
    <x:row r="32" ht="22" customHeight="1">
      <x:c r="A32" s="3" t="s">
        <x:v>318</x:v>
      </x:c>
      <x:c r="B32" s="3" t="s">
        <x:v>317</x:v>
      </x:c>
      <x:c r="C32" s="3" t="s">
        <x:v>820</x:v>
      </x:c>
      <x:c r="D32" s="3" t="s">
        <x:v>324</x:v>
      </x:c>
    </x:row>
  </x:sheetData>
  <x:pageMargins left="0.7" right="0.7" top="0.75" bottom="0.75" header="0.3" footer="0.3"/>
</x:worksheet>
</file>

<file path=xl/worksheets/sheet10.xml><?xml version="1.0" encoding="utf-8"?>
<x:worksheet xmlns:x="http://schemas.openxmlformats.org/spreadsheetml/2006/main">
  <x:sheetFormatPr defaultColWidth="9" defaultRowHeight="14"/>
  <x:cols>
    <x:col min="1" max="1" width="25" customWidth="1"/>
    <x:col min="2" max="2" width="50" customWidth="1"/>
    <x:col min="3" max="3" width="30" customWidth="1"/>
    <x:col min="4" max="4" width="20" customWidth="1"/>
    <x:col min="5" max="5" width="30" customWidth="1"/>
  </x:cols>
  <x:sheetData>
    <x:row r="1" ht="30" customHeight="1">
      <x:c r="A1" s="10" t="s">
        <x:v>821</x:v>
      </x:c>
      <x:c r="B1" s="10" t="s">
        <x:v>822</x:v>
      </x:c>
      <x:c r="C1" s="10" t="s">
        <x:v>823</x:v>
      </x:c>
      <x:c r="D1" s="10" t="s">
        <x:v>1</x:v>
      </x:c>
      <x:c r="E1" s="10" t="s">
        <x:v>824</x:v>
      </x:c>
    </x:row>
    <x:row r="2" ht="22" customHeight="1">
      <x:c r="A2" s="8" t="s">
        <x:v>825</x:v>
      </x:c>
      <x:c r="B2" s="9" t="str">
        <x:v>31项监测来源</x:v>
      </x:c>
      <x:c r="C2" s="9" t="str">
        <x:v>按第八部分监测来源清单实际条目统计</x:v>
      </x:c>
      <x:c r="D2" s="9" t="str">
        <x:v>1</x:v>
      </x:c>
      <x:c r="E2" s="9" t="str">
        <x:v>已完成</x:v>
      </x:c>
    </x:row>
    <x:row r="3" ht="22" customHeight="1">
      <x:c r="A3" s="8" t="s">
        <x:v>826</x:v>
      </x:c>
      <x:c r="B3" s="9" t="str">
        <x:v>约735条以上</x:v>
      </x:c>
      <x:c r="C3" s="9" t="str">
        <x:v>学生人工累计口径；现有表内仅明确部分查看量，无法由明细完整反推735</x:v>
      </x:c>
      <x:c r="D3" s="9" t="str">
        <x:v>1</x:v>
      </x:c>
      <x:c r="E3" s="9" t="str">
        <x:v>保留原人工统计并标注口径</x:v>
      </x:c>
    </x:row>
    <x:row r="4" ht="22" customHeight="1">
      <x:c r="A4" s="8" t="s">
        <x:v>827</x:v>
      </x:c>
      <x:c r="B4" s="9" t="n">
        <x:v>201</x:v>
      </x:c>
      <x:c r="C4" s="9" t="str">
        <x:v>按内容数统计；恢复2条不应删除的公众意见</x:v>
      </x:c>
      <x:c r="D4" s="9" t="str">
        <x:v>1</x:v>
      </x:c>
      <x:c r="E4" s="9" t="str">
        <x:v>1</x:v>
      </x:c>
    </x:row>
    <x:row r="5" ht="22" customHeight="1">
      <x:c r="A5" s="8" t="s">
        <x:v>828</x:v>
      </x:c>
      <x:c r="B5" s="9" t="n">
        <x:v>200</x:v>
      </x:c>
      <x:c r="C5" s="9" t="str">
        <x:v>民族议题相关201条中排除1条B类间接关联条目（高校实践队调研非遗）</x:v>
      </x:c>
      <x:c r="D5" s="9" t="str">
        <x:v>1</x:v>
      </x:c>
      <x:c r="E5" s="9" t="str">
        <x:v>1</x:v>
      </x:c>
    </x:row>
    <x:row r="6" ht="22" customHeight="1">
      <x:c r="A6" s="8" t="s">
        <x:v>829</x:v>
      </x:c>
      <x:c r="B6" s="9" t="n">
        <x:v>1</x:v>
      </x:c>
      <x:c r="C6" s="9" t="str">
        <x:v>已恢复B站担忧评论；小红书评论改为中性信息，不计明确批评</x:v>
      </x:c>
      <x:c r="D6" s="9" t="str">
        <x:v>1</x:v>
      </x:c>
      <x:c r="E6" s="9" t="str">
        <x:v>1条可确认担忧影响</x:v>
      </x:c>
    </x:row>
    <x:row r="7" ht="22" customHeight="1">
      <x:c r="A7" s="8" t="s">
        <x:v>830</x:v>
      </x:c>
      <x:c r="B7" s="9" t="n">
        <x:v>2</x:v>
      </x:c>
      <x:c r="C7" s="9" t="str">
        <x:v>已确认2条少数民族语言相关有效内容：1条中文＋维吾尔文官方视频、1条维吾尔文用户评论。后者机器翻译仅作辅助，态度待维吾尔语人员复核。</x:v>
      </x:c>
      <x:c r="D7" s="9" t="str">
        <x:v>1</x:v>
      </x:c>
      <x:c r="E7" s="9" t="str">
        <x:v>少数民族语言有效内容2条</x:v>
      </x:c>
    </x:row>
  </x:sheetData>
  <x:pageMargins left="0.7" right="0.7" top="0.75" bottom="0.75" header="0.3" footer="0.3"/>
</x:worksheet>
</file>